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mc:AlternateContent xmlns:mc="http://schemas.openxmlformats.org/markup-compatibility/2006">
    <mc:Choice Requires="x15">
      <x15ac:absPath xmlns:x15ac="http://schemas.microsoft.com/office/spreadsheetml/2010/11/ac" url="/Users/zander/Downloads/"/>
    </mc:Choice>
  </mc:AlternateContent>
  <xr:revisionPtr revIDLastSave="0" documentId="13_ncr:1_{BCE15B4F-9F3E-3543-8B8F-4CBD8C5562FC}" xr6:coauthVersionLast="47" xr6:coauthVersionMax="47" xr10:uidLastSave="{00000000-0000-0000-0000-000000000000}"/>
  <bookViews>
    <workbookView xWindow="4300" yWindow="1420" windowWidth="30340" windowHeight="24060" xr2:uid="{53288A66-94FE-495A-AB62-8DBFC6A69AA2}"/>
  </bookViews>
  <sheets>
    <sheet name="BEETRADE" sheetId="13" r:id="rId1"/>
    <sheet name="Your Project" sheetId="8" r:id="rId2"/>
    <sheet name="Add Ins" sheetId="9" r:id="rId3"/>
    <sheet name="Your Revenues" sheetId="10" r:id="rId4"/>
    <sheet name="Additional Information" sheetId="12" r:id="rId5"/>
    <sheet name="Simulation" sheetId="3" r:id="rId6"/>
    <sheet name="Hidden_Lists Base" sheetId="1" r:id="rId7"/>
    <sheet name="Hidden_Control Sheet" sheetId="2" r:id="rId8"/>
    <sheet name="Hidden_Filter" sheetId="7" r:id="rId9"/>
    <sheet name="Hidden_Bridge Loan" sheetId="14" r:id="rId10"/>
  </sheets>
  <definedNames>
    <definedName name="_xlpm.col" hidden="1" xlm="1">#NAME?</definedName>
    <definedName name="_xlpm.salary" hidden="1" xlm="1">#NAME?</definedName>
    <definedName name="Brussels">'Hidden_Lists Base'!$B$28:$B$30</definedName>
    <definedName name="Brussels_NoAbatement">'Hidden_Lists Base'!$B$29:$B$30</definedName>
    <definedName name="Count_Values">_xlfn.LAMBDA(_xlpm.col,_xlpm.salary,COUNTIFS(_xlpm.col,"&lt;&gt;0",_xlpm.col,"&lt;="&amp;_xlpm.salary))</definedName>
    <definedName name="Flanders">'Hidden_Lists Base'!$A$28:$A$30</definedName>
    <definedName name="List_1">Hidden_Filter!$B$13:$B$38</definedName>
    <definedName name="List_10">Hidden_Filter!$K$13:$K$29</definedName>
    <definedName name="List_11">Hidden_Filter!$L$13:$L$28</definedName>
    <definedName name="List_12">Hidden_Filter!$M$13:$M$27</definedName>
    <definedName name="List_13">Hidden_Filter!$N$13:$N$26</definedName>
    <definedName name="List_14">Hidden_Filter!$O$13:$O$25</definedName>
    <definedName name="List_15">Hidden_Filter!$P$13:$P$24</definedName>
    <definedName name="List_16">Hidden_Filter!$Q$13:$Q$23</definedName>
    <definedName name="List_17">Hidden_Filter!$R$13:$R$22</definedName>
    <definedName name="List_18">Hidden_Filter!$S$13:$S$21</definedName>
    <definedName name="List_19">Hidden_Filter!$T$13:$T$20</definedName>
    <definedName name="List_2">Hidden_Filter!$C$13:$C$37</definedName>
    <definedName name="List_20">Hidden_Filter!$U$13:$U$19</definedName>
    <definedName name="List_21">Hidden_Filter!$V$13:$V$18</definedName>
    <definedName name="List_22">Hidden_Filter!$W$13:$W$17</definedName>
    <definedName name="List_23">Hidden_Filter!$X$13:$X$16</definedName>
    <definedName name="List_24">Hidden_Filter!$Y$13:$Y$15</definedName>
    <definedName name="List_25">Hidden_Filter!$Z$13:$Z$14</definedName>
    <definedName name="List_26">Hidden_Filter!$AA$13:$AA$13</definedName>
    <definedName name="List_27">Hidden_Filter!$AB$13:$AB$38</definedName>
    <definedName name="List_3">Hidden_Filter!$D$13:$D$36</definedName>
    <definedName name="List_4">Hidden_Filter!$E$13:$E$35</definedName>
    <definedName name="List_5">Hidden_Filter!$F$13:$F$34</definedName>
    <definedName name="List_6">Hidden_Filter!$G$13:$G$33</definedName>
    <definedName name="List_7">Hidden_Filter!$H$13:$H$32</definedName>
    <definedName name="List_8">Hidden_Filter!$I$13:$I$31</definedName>
    <definedName name="List_9">Hidden_Filter!$J$13:$J$30</definedName>
    <definedName name="LoanIsGood">(!#REF!*!#REF!*!#REF!*!#REF!)&gt;0</definedName>
    <definedName name="Monthly_Interest_Rate">Simulation!$D$26</definedName>
    <definedName name="Monthly_Payment">Simulation!$F$31</definedName>
    <definedName name="Number_of_Payments_per_Year">Simulation!$I$23</definedName>
    <definedName name="Own_Funds">Simulation!$D$23</definedName>
    <definedName name="Price_of_Purchase">Simulation!$D$22</definedName>
    <definedName name="_xlnm.Print_Titles" localSheetId="5">Simulation!$51:$52</definedName>
    <definedName name="Q3b_VAT">'Hidden_Lists Base'!$D$19:$D$20</definedName>
    <definedName name="Ref_Q3a">'Hidden_Lists Base'!$C$22</definedName>
    <definedName name="Renovation_VAT">'Hidden_Lists Base'!$F$41:$F$42</definedName>
    <definedName name="Scheduled_Number_of_Payments">Simulation!$I$24</definedName>
    <definedName name="Start_Loan_Date">Simulation!$I$27</definedName>
    <definedName name="Today">'Hidden_Control Sheet'!$A$2</definedName>
    <definedName name="TotalEarlyPayments">SUM(!#REF!)</definedName>
    <definedName name="TotalInterest">SUM(!#REF!)</definedName>
    <definedName name="type_replacement_income">'Hidden_Lists Base'!$A$53:$A$59</definedName>
    <definedName name="type_withoutVAT">'Hidden_Lists Base'!$A$18:$A$19</definedName>
    <definedName name="Type_withVAT">'Hidden_Lists Base'!$A$18:$A$20</definedName>
    <definedName name="Vazio">'Hidden_Lists Base'!$A$2</definedName>
    <definedName name="Wallonia">'Hidden_Lists Base'!$C$28:$C$32</definedName>
    <definedName name="What_are_you_buying?">'Hidden_Lists Base'!$A$6:$A$10</definedName>
    <definedName name="YesNo">'Hidden_Lists Base'!$C$19:$C$20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6" i="3" l="1"/>
  <c r="A32" i="1"/>
  <c r="I9" i="3"/>
  <c r="H9" i="3"/>
  <c r="G9" i="3"/>
  <c r="G10" i="3" s="1"/>
  <c r="E9" i="3"/>
  <c r="E10" i="3" s="1"/>
  <c r="B9" i="3"/>
  <c r="A13" i="14" a="1"/>
  <c r="A13" i="14" s="1"/>
  <c r="G42" i="1"/>
  <c r="I13" i="3"/>
  <c r="A40" i="3"/>
  <c r="A45" i="3" s="1"/>
  <c r="B8" i="3"/>
  <c r="F40" i="1"/>
  <c r="I14" i="2"/>
  <c r="F14" i="2"/>
  <c r="B7" i="3"/>
  <c r="B5" i="3"/>
  <c r="B6" i="3"/>
  <c r="E72" i="1"/>
  <c r="E71" i="1"/>
  <c r="G18" i="2"/>
  <c r="G17" i="2"/>
  <c r="C18" i="2"/>
  <c r="C17" i="2"/>
  <c r="B7" i="2"/>
  <c r="B6" i="2"/>
  <c r="B14" i="2"/>
  <c r="D22" i="3" s="1"/>
  <c r="J16" i="12"/>
  <c r="J11" i="12"/>
  <c r="F16" i="12"/>
  <c r="F11" i="12"/>
  <c r="B14" i="12"/>
  <c r="N16" i="12" s="1"/>
  <c r="B9" i="12"/>
  <c r="G54" i="1"/>
  <c r="G53" i="1"/>
  <c r="N12" i="10"/>
  <c r="B17" i="2" s="1"/>
  <c r="L16" i="10"/>
  <c r="L11" i="10"/>
  <c r="B14" i="10"/>
  <c r="N16" i="10" s="1"/>
  <c r="B9" i="10"/>
  <c r="C49" i="1"/>
  <c r="G49" i="1" s="1"/>
  <c r="D43" i="1"/>
  <c r="J15" i="9"/>
  <c r="H15" i="9"/>
  <c r="F15" i="9"/>
  <c r="D15" i="9"/>
  <c r="F9" i="9"/>
  <c r="D9" i="9"/>
  <c r="D35" i="1"/>
  <c r="B11" i="8"/>
  <c r="A22" i="1"/>
  <c r="F15" i="8"/>
  <c r="B15" i="8"/>
  <c r="J9" i="8"/>
  <c r="H9" i="8"/>
  <c r="C22" i="1" s="1"/>
  <c r="F9" i="8"/>
  <c r="D9" i="8"/>
  <c r="B9" i="8"/>
  <c r="I22" i="3"/>
  <c r="FU40" i="2"/>
  <c r="FV40" i="2"/>
  <c r="FW40" i="2"/>
  <c r="FX40" i="2"/>
  <c r="FL40" i="2"/>
  <c r="FM40" i="2"/>
  <c r="FN40" i="2"/>
  <c r="FO40" i="2"/>
  <c r="FP40" i="2"/>
  <c r="FQ40" i="2"/>
  <c r="FR40" i="2"/>
  <c r="FS40" i="2"/>
  <c r="FT40" i="2"/>
  <c r="CY40" i="2"/>
  <c r="CZ40" i="2"/>
  <c r="DA40" i="2"/>
  <c r="DB40" i="2"/>
  <c r="DC40" i="2"/>
  <c r="DD40" i="2"/>
  <c r="DE40" i="2"/>
  <c r="DF40" i="2"/>
  <c r="DG40" i="2"/>
  <c r="DH40" i="2"/>
  <c r="DI40" i="2"/>
  <c r="DJ40" i="2"/>
  <c r="DK40" i="2"/>
  <c r="DL40" i="2"/>
  <c r="DM40" i="2"/>
  <c r="DN40" i="2"/>
  <c r="DO40" i="2"/>
  <c r="DP40" i="2"/>
  <c r="DQ40" i="2"/>
  <c r="DR40" i="2"/>
  <c r="DS40" i="2"/>
  <c r="DT40" i="2"/>
  <c r="DU40" i="2"/>
  <c r="DV40" i="2"/>
  <c r="DW40" i="2"/>
  <c r="DX40" i="2"/>
  <c r="DY40" i="2"/>
  <c r="DZ40" i="2"/>
  <c r="EA40" i="2"/>
  <c r="EB40" i="2"/>
  <c r="EC40" i="2"/>
  <c r="ED40" i="2"/>
  <c r="EE40" i="2"/>
  <c r="EF40" i="2"/>
  <c r="EG40" i="2"/>
  <c r="EH40" i="2"/>
  <c r="EI40" i="2"/>
  <c r="EJ40" i="2"/>
  <c r="EK40" i="2"/>
  <c r="EL40" i="2"/>
  <c r="EM40" i="2"/>
  <c r="EN40" i="2"/>
  <c r="EO40" i="2"/>
  <c r="EP40" i="2"/>
  <c r="EQ40" i="2"/>
  <c r="ER40" i="2"/>
  <c r="ES40" i="2"/>
  <c r="ET40" i="2"/>
  <c r="EU40" i="2"/>
  <c r="EV40" i="2"/>
  <c r="EW40" i="2"/>
  <c r="EX40" i="2"/>
  <c r="EY40" i="2"/>
  <c r="EZ40" i="2"/>
  <c r="FA40" i="2"/>
  <c r="FB40" i="2"/>
  <c r="FC40" i="2"/>
  <c r="FD40" i="2"/>
  <c r="FE40" i="2"/>
  <c r="FF40" i="2"/>
  <c r="FG40" i="2"/>
  <c r="FH40" i="2"/>
  <c r="FI40" i="2"/>
  <c r="FJ40" i="2"/>
  <c r="FK40" i="2"/>
  <c r="D24" i="3"/>
  <c r="B10" i="7" a="1"/>
  <c r="B10" i="7" s="1"/>
  <c r="B11" i="7" s="1"/>
  <c r="B13" i="7" s="1" a="1"/>
  <c r="B13" i="7" s="1"/>
  <c r="CY39" i="2"/>
  <c r="CZ39" i="2"/>
  <c r="DA39" i="2"/>
  <c r="DB39" i="2"/>
  <c r="DC39" i="2"/>
  <c r="DD39" i="2"/>
  <c r="DE39" i="2"/>
  <c r="DF39" i="2"/>
  <c r="DG39" i="2"/>
  <c r="DH39" i="2"/>
  <c r="DI39" i="2"/>
  <c r="DJ39" i="2"/>
  <c r="DK39" i="2"/>
  <c r="DL39" i="2"/>
  <c r="DM39" i="2"/>
  <c r="DN39" i="2"/>
  <c r="DO39" i="2"/>
  <c r="DP39" i="2"/>
  <c r="DQ39" i="2"/>
  <c r="DR39" i="2"/>
  <c r="DS39" i="2"/>
  <c r="DT39" i="2"/>
  <c r="DU39" i="2"/>
  <c r="DV39" i="2"/>
  <c r="DW39" i="2"/>
  <c r="DX39" i="2"/>
  <c r="DY39" i="2"/>
  <c r="DZ39" i="2"/>
  <c r="EA39" i="2"/>
  <c r="EB39" i="2"/>
  <c r="EC39" i="2"/>
  <c r="ED39" i="2"/>
  <c r="EE39" i="2"/>
  <c r="EF39" i="2"/>
  <c r="EG39" i="2"/>
  <c r="EH39" i="2"/>
  <c r="EI39" i="2"/>
  <c r="EJ39" i="2"/>
  <c r="EK39" i="2"/>
  <c r="EL39" i="2"/>
  <c r="EM39" i="2"/>
  <c r="EN39" i="2"/>
  <c r="EO39" i="2"/>
  <c r="EP39" i="2"/>
  <c r="EQ39" i="2"/>
  <c r="ER39" i="2"/>
  <c r="ES39" i="2"/>
  <c r="ET39" i="2"/>
  <c r="EU39" i="2"/>
  <c r="EV39" i="2"/>
  <c r="EW39" i="2"/>
  <c r="EX39" i="2"/>
  <c r="EY39" i="2"/>
  <c r="EZ39" i="2"/>
  <c r="FA39" i="2"/>
  <c r="FB39" i="2"/>
  <c r="FC39" i="2"/>
  <c r="FD39" i="2"/>
  <c r="FE39" i="2"/>
  <c r="FF39" i="2"/>
  <c r="FG39" i="2"/>
  <c r="FH39" i="2"/>
  <c r="FI39" i="2"/>
  <c r="FJ39" i="2"/>
  <c r="FK39" i="2"/>
  <c r="FL39" i="2"/>
  <c r="FM39" i="2"/>
  <c r="FN39" i="2"/>
  <c r="FO39" i="2"/>
  <c r="FP39" i="2"/>
  <c r="FQ39" i="2"/>
  <c r="FR39" i="2"/>
  <c r="FS39" i="2"/>
  <c r="FT39" i="2"/>
  <c r="FU39" i="2"/>
  <c r="FV39" i="2"/>
  <c r="FW39" i="2"/>
  <c r="FX39" i="2"/>
  <c r="I26" i="2"/>
  <c r="H28" i="2"/>
  <c r="H27" i="2"/>
  <c r="A2" i="2"/>
  <c r="F27" i="1" a="1"/>
  <c r="F30" i="1" a="1"/>
  <c r="F24" i="1" a="1"/>
  <c r="D71" i="1" l="1"/>
  <c r="C43" i="1"/>
  <c r="F54" i="1"/>
  <c r="F30" i="1"/>
  <c r="F27" i="1"/>
  <c r="F24" i="1"/>
  <c r="G55" i="1"/>
  <c r="C6" i="2"/>
  <c r="D6" i="2" s="1"/>
  <c r="C10" i="2" s="1"/>
  <c r="G36" i="2"/>
  <c r="A42" i="3"/>
  <c r="A43" i="3"/>
  <c r="A44" i="3"/>
  <c r="H5" i="3"/>
  <c r="D22" i="1"/>
  <c r="E73" i="1"/>
  <c r="D17" i="2"/>
  <c r="C7" i="2"/>
  <c r="B65" i="1"/>
  <c r="F53" i="1"/>
  <c r="L16" i="12"/>
  <c r="H16" i="12"/>
  <c r="B16" i="12"/>
  <c r="D16" i="12"/>
  <c r="B53" i="1"/>
  <c r="N17" i="10"/>
  <c r="B18" i="2" s="1"/>
  <c r="F16" i="10"/>
  <c r="B16" i="10"/>
  <c r="D16" i="10"/>
  <c r="H16" i="10"/>
  <c r="E49" i="1"/>
  <c r="L9" i="8"/>
  <c r="D23" i="3"/>
  <c r="I14" i="3" s="1"/>
  <c r="Q11" i="7"/>
  <c r="Q13" i="7" s="1" a="1"/>
  <c r="Q13" i="7" s="1"/>
  <c r="G11" i="7"/>
  <c r="G13" i="7" s="1" a="1"/>
  <c r="G13" i="7" s="1"/>
  <c r="X11" i="7"/>
  <c r="X13" i="7" s="1" a="1"/>
  <c r="X13" i="7" s="1"/>
  <c r="P11" i="7"/>
  <c r="P13" i="7" s="1" a="1"/>
  <c r="P13" i="7" s="1"/>
  <c r="H11" i="7"/>
  <c r="H13" i="7" s="1" a="1"/>
  <c r="H13" i="7" s="1"/>
  <c r="Y11" i="7"/>
  <c r="Y13" i="7" s="1" a="1"/>
  <c r="Y13" i="7" s="1"/>
  <c r="F11" i="7"/>
  <c r="F13" i="7" s="1" a="1"/>
  <c r="F13" i="7" s="1"/>
  <c r="W11" i="7"/>
  <c r="W13" i="7" s="1" a="1"/>
  <c r="W13" i="7" s="1"/>
  <c r="O11" i="7"/>
  <c r="O13" i="7" s="1" a="1"/>
  <c r="O13" i="7" s="1"/>
  <c r="E11" i="7"/>
  <c r="E13" i="7" s="1" a="1"/>
  <c r="E13" i="7" s="1"/>
  <c r="V11" i="7"/>
  <c r="V13" i="7" s="1" a="1"/>
  <c r="V13" i="7" s="1"/>
  <c r="N11" i="7"/>
  <c r="N13" i="7" s="1" a="1"/>
  <c r="N13" i="7" s="1"/>
  <c r="D11" i="7"/>
  <c r="D13" i="7" s="1" a="1"/>
  <c r="D13" i="7" s="1"/>
  <c r="U11" i="7"/>
  <c r="U13" i="7" s="1" a="1"/>
  <c r="U13" i="7" s="1"/>
  <c r="M11" i="7"/>
  <c r="M13" i="7" s="1" a="1"/>
  <c r="M13" i="7" s="1"/>
  <c r="C11" i="7"/>
  <c r="C13" i="7" s="1" a="1"/>
  <c r="C13" i="7" s="1"/>
  <c r="T11" i="7"/>
  <c r="T13" i="7" s="1" a="1"/>
  <c r="T13" i="7" s="1"/>
  <c r="L11" i="7"/>
  <c r="L13" i="7" s="1" a="1"/>
  <c r="L13" i="7" s="1"/>
  <c r="AA11" i="7"/>
  <c r="AA13" i="7" s="1" a="1"/>
  <c r="AA13" i="7" s="1"/>
  <c r="S11" i="7"/>
  <c r="S13" i="7" s="1" a="1"/>
  <c r="S13" i="7" s="1"/>
  <c r="K11" i="7"/>
  <c r="K13" i="7" s="1" a="1"/>
  <c r="K13" i="7" s="1"/>
  <c r="I11" i="7"/>
  <c r="I13" i="7" s="1" a="1"/>
  <c r="I13" i="7" s="1"/>
  <c r="Z11" i="7"/>
  <c r="Z13" i="7" s="1" a="1"/>
  <c r="Z13" i="7" s="1"/>
  <c r="R11" i="7"/>
  <c r="R13" i="7" s="1" a="1"/>
  <c r="R13" i="7" s="1"/>
  <c r="J11" i="7"/>
  <c r="J13" i="7" s="1" a="1"/>
  <c r="J13" i="7" s="1"/>
  <c r="I24" i="3"/>
  <c r="B19" i="1"/>
  <c r="F55" i="1" l="1"/>
  <c r="D18" i="2"/>
  <c r="H18" i="2" s="1"/>
  <c r="B22" i="2" s="1"/>
  <c r="J15" i="8"/>
  <c r="J14" i="8" s="1"/>
  <c r="E6" i="2"/>
  <c r="D72" i="1"/>
  <c r="D73" i="1" s="1"/>
  <c r="L4" i="12" s="1"/>
  <c r="H17" i="2"/>
  <c r="B21" i="2" s="1"/>
  <c r="D7" i="2"/>
  <c r="E7" i="2"/>
  <c r="B40" i="1"/>
  <c r="C35" i="1"/>
  <c r="L4" i="8" s="1"/>
  <c r="B5" i="12" s="1"/>
  <c r="A53" i="3" a="1"/>
  <c r="A53" i="3" s="1"/>
  <c r="D21" i="2" l="1"/>
  <c r="D24" i="2" s="1"/>
  <c r="C27" i="2" s="1"/>
  <c r="C41" i="2" s="1" a="1"/>
  <c r="C41" i="2" s="1"/>
  <c r="B53" i="3" a="1"/>
  <c r="B53" i="3" s="1"/>
  <c r="B13" i="14" s="1" a="1"/>
  <c r="B13" i="14" s="1"/>
  <c r="D10" i="2"/>
  <c r="B43" i="2" s="1" a="1"/>
  <c r="B43" i="2" s="1"/>
  <c r="B37" i="2" s="1"/>
  <c r="D22" i="2"/>
  <c r="B24" i="2"/>
  <c r="C24" i="2" s="1"/>
  <c r="E24" i="2" s="1"/>
  <c r="D27" i="2" s="1"/>
  <c r="C22" i="2"/>
  <c r="E22" i="2" s="1"/>
  <c r="I28" i="2"/>
  <c r="J28" i="2" s="1"/>
  <c r="I27" i="2"/>
  <c r="J27" i="2" s="1"/>
  <c r="C21" i="2"/>
  <c r="E21" i="2" s="1"/>
  <c r="B5" i="9"/>
  <c r="N9" i="9" s="1"/>
  <c r="L4" i="9" s="1"/>
  <c r="D5" i="10" s="1"/>
  <c r="B5" i="10"/>
  <c r="B17" i="8"/>
  <c r="L4" i="10" l="1"/>
  <c r="F5" i="12" s="1"/>
  <c r="D5" i="12"/>
  <c r="A43" i="2" a="1"/>
  <c r="A43" i="2" s="1"/>
  <c r="J30" i="2"/>
  <c r="C42" i="2" a="1"/>
  <c r="C42" i="2" s="1"/>
  <c r="B8" i="14" s="1" a="1"/>
  <c r="B8" i="14" s="1"/>
  <c r="D43" i="3" a="1"/>
  <c r="D43" i="3" s="1"/>
  <c r="I28" i="3"/>
  <c r="H10" i="3" l="1"/>
  <c r="D16" i="14"/>
  <c r="D24" i="14"/>
  <c r="D21" i="14"/>
  <c r="D17" i="14"/>
  <c r="D20" i="14"/>
  <c r="D13" i="14"/>
  <c r="C13" i="14" s="1" a="1"/>
  <c r="C13" i="14" s="1"/>
  <c r="E13" i="14" s="1" a="1"/>
  <c r="E13" i="14" s="1"/>
  <c r="E8" i="14" s="1"/>
  <c r="I10" i="3" s="1"/>
  <c r="D14" i="14"/>
  <c r="D18" i="14"/>
  <c r="D22" i="14"/>
  <c r="D19" i="14"/>
  <c r="D15" i="14"/>
  <c r="D23" i="14"/>
  <c r="C43" i="2" a="1"/>
  <c r="C43" i="2" s="1"/>
  <c r="F13" i="14" l="1" a="1"/>
  <c r="F13" i="14" s="1"/>
  <c r="G13" i="14" s="1" a="1"/>
  <c r="G13" i="14" s="1"/>
  <c r="CO39" i="2"/>
  <c r="CT40" i="2"/>
  <c r="CX40" i="2"/>
  <c r="CS40" i="2"/>
  <c r="CX39" i="2"/>
  <c r="CV40" i="2"/>
  <c r="CU39" i="2"/>
  <c r="CU40" i="2"/>
  <c r="CR40" i="2"/>
  <c r="CW40" i="2"/>
  <c r="CQ40" i="2"/>
  <c r="CS39" i="2"/>
  <c r="CV39" i="2"/>
  <c r="CP40" i="2"/>
  <c r="CQ39" i="2"/>
  <c r="CP39" i="2"/>
  <c r="CR39" i="2"/>
  <c r="CW39" i="2"/>
  <c r="CT39" i="2"/>
  <c r="CO40" i="2"/>
  <c r="J39" i="2"/>
  <c r="BN39" i="2"/>
  <c r="S40" i="2"/>
  <c r="BM40" i="2"/>
  <c r="U39" i="2"/>
  <c r="CN39" i="2"/>
  <c r="AA39" i="2"/>
  <c r="K40" i="2"/>
  <c r="N39" i="2"/>
  <c r="CJ40" i="2"/>
  <c r="AX39" i="2"/>
  <c r="AH40" i="2"/>
  <c r="AJ39" i="2"/>
  <c r="I40" i="2"/>
  <c r="AP39" i="2"/>
  <c r="AO40" i="2"/>
  <c r="AB39" i="2"/>
  <c r="AS40" i="2"/>
  <c r="BC39" i="2"/>
  <c r="AE40" i="2"/>
  <c r="BY39" i="2"/>
  <c r="BW40" i="2"/>
  <c r="BZ39" i="2"/>
  <c r="W40" i="2"/>
  <c r="BJ40" i="2"/>
  <c r="AI39" i="2"/>
  <c r="L40" i="2"/>
  <c r="AX40" i="2"/>
  <c r="V39" i="2"/>
  <c r="AZ39" i="2"/>
  <c r="K39" i="2"/>
  <c r="BF39" i="2"/>
  <c r="AP40" i="2"/>
  <c r="M39" i="2"/>
  <c r="S39" i="2"/>
  <c r="BM39" i="2"/>
  <c r="CB40" i="2"/>
  <c r="CM39" i="2"/>
  <c r="AW39" i="2"/>
  <c r="Z40" i="2"/>
  <c r="BS40" i="2"/>
  <c r="BX40" i="2"/>
  <c r="AN39" i="2"/>
  <c r="AF40" i="2"/>
  <c r="BP40" i="2"/>
  <c r="AU39" i="2"/>
  <c r="D39" i="2"/>
  <c r="AC40" i="2"/>
  <c r="BH40" i="2"/>
  <c r="BO40" i="2"/>
  <c r="X39" i="2"/>
  <c r="AM39" i="2"/>
  <c r="BR39" i="2"/>
  <c r="P40" i="2"/>
  <c r="O40" i="2"/>
  <c r="BB40" i="2"/>
  <c r="CC39" i="2"/>
  <c r="BE40" i="2"/>
  <c r="AR39" i="2"/>
  <c r="J40" i="2"/>
  <c r="BE39" i="2"/>
  <c r="AW40" i="2"/>
  <c r="CA40" i="2"/>
  <c r="CG40" i="2"/>
  <c r="CB39" i="2"/>
  <c r="BT40" i="2"/>
  <c r="CI40" i="2"/>
  <c r="D40" i="2"/>
  <c r="CE40" i="2"/>
  <c r="CH39" i="2"/>
  <c r="BR40" i="2"/>
  <c r="AK40" i="2"/>
  <c r="AF39" i="2"/>
  <c r="X40" i="2"/>
  <c r="CE39" i="2"/>
  <c r="I39" i="2"/>
  <c r="BW39" i="2"/>
  <c r="U40" i="2"/>
  <c r="AZ40" i="2"/>
  <c r="BG40" i="2"/>
  <c r="P39" i="2"/>
  <c r="AE39" i="2"/>
  <c r="BJ39" i="2"/>
  <c r="BI39" i="2"/>
  <c r="BQ39" i="2"/>
  <c r="AT40" i="2"/>
  <c r="H39" i="2"/>
  <c r="G40" i="2"/>
  <c r="BO39" i="2"/>
  <c r="BY40" i="2"/>
  <c r="M40" i="2"/>
  <c r="AH39" i="2"/>
  <c r="AR40" i="2"/>
  <c r="AO39" i="2"/>
  <c r="AY40" i="2"/>
  <c r="BT39" i="2"/>
  <c r="CD40" i="2"/>
  <c r="R40" i="2"/>
  <c r="W39" i="2"/>
  <c r="AG40" i="2"/>
  <c r="BB39" i="2"/>
  <c r="BL40" i="2"/>
  <c r="BA39" i="2"/>
  <c r="BK40" i="2"/>
  <c r="CF39" i="2"/>
  <c r="T39" i="2"/>
  <c r="AL40" i="2"/>
  <c r="CM40" i="2"/>
  <c r="E39" i="2"/>
  <c r="H40" i="2"/>
  <c r="BG39" i="2"/>
  <c r="BQ40" i="2"/>
  <c r="CG39" i="2"/>
  <c r="Z39" i="2"/>
  <c r="AJ40" i="2"/>
  <c r="AG39" i="2"/>
  <c r="AQ40" i="2"/>
  <c r="BL39" i="2"/>
  <c r="BV40" i="2"/>
  <c r="CA39" i="2"/>
  <c r="O39" i="2"/>
  <c r="Y40" i="2"/>
  <c r="AT39" i="2"/>
  <c r="BD40" i="2"/>
  <c r="AS39" i="2"/>
  <c r="BC40" i="2"/>
  <c r="BX39" i="2"/>
  <c r="L39" i="2"/>
  <c r="AD40" i="2"/>
  <c r="F39" i="2"/>
  <c r="F40" i="2"/>
  <c r="AY39" i="2"/>
  <c r="BI40" i="2"/>
  <c r="CD39" i="2"/>
  <c r="R39" i="2"/>
  <c r="AB40" i="2"/>
  <c r="Y39" i="2"/>
  <c r="AI40" i="2"/>
  <c r="BD39" i="2"/>
  <c r="BN40" i="2"/>
  <c r="BS39" i="2"/>
  <c r="CC40" i="2"/>
  <c r="Q40" i="2"/>
  <c r="AL39" i="2"/>
  <c r="AV40" i="2"/>
  <c r="AK39" i="2"/>
  <c r="AU40" i="2"/>
  <c r="BP39" i="2"/>
  <c r="CH40" i="2"/>
  <c r="V40" i="2"/>
  <c r="G39" i="2"/>
  <c r="E40" i="2"/>
  <c r="AQ39" i="2"/>
  <c r="BA40" i="2"/>
  <c r="BV39" i="2"/>
  <c r="CF40" i="2"/>
  <c r="T40" i="2"/>
  <c r="Q39" i="2"/>
  <c r="AA40" i="2"/>
  <c r="AV39" i="2"/>
  <c r="BF40" i="2"/>
  <c r="BK39" i="2"/>
  <c r="BU40" i="2"/>
  <c r="BU39" i="2"/>
  <c r="AD39" i="2"/>
  <c r="AN40" i="2"/>
  <c r="AC39" i="2"/>
  <c r="AM40" i="2"/>
  <c r="BH39" i="2"/>
  <c r="BZ40" i="2"/>
  <c r="N40" i="2"/>
  <c r="CL40" i="2"/>
  <c r="CI39" i="2"/>
  <c r="CK40" i="2"/>
  <c r="CL39" i="2"/>
  <c r="CK39" i="2"/>
  <c r="CJ39" i="2"/>
  <c r="CN40" i="2"/>
  <c r="C40" i="2"/>
  <c r="C39" i="2"/>
  <c r="B7" i="7" l="1"/>
  <c r="B3" i="7" s="1"/>
  <c r="AE13" i="7"/>
  <c r="AB13" i="7" l="1" a="1"/>
  <c r="AB13" i="7" s="1"/>
  <c r="D4" i="7"/>
  <c r="E4" i="7"/>
  <c r="F31" i="3" l="1" a="1"/>
  <c r="F31" i="3" s="1"/>
  <c r="I18" i="3"/>
  <c r="B18" i="3"/>
  <c r="B37" i="3" l="1"/>
  <c r="D26" i="3"/>
  <c r="D27" i="3" s="1"/>
  <c r="F34" i="3" s="1"/>
  <c r="D53" i="3" a="1"/>
  <c r="D53" i="3" s="1"/>
  <c r="D42" i="3" s="1" a="1"/>
  <c r="D42" i="3" s="1"/>
  <c r="C53" i="3" l="1" a="1"/>
  <c r="C53" i="3" s="1"/>
  <c r="E53" i="3" s="1" a="1"/>
  <c r="E53" i="3" s="1"/>
  <c r="D44" i="3"/>
  <c r="D45" i="3" s="1"/>
  <c r="H53" i="3" s="1" a="1"/>
  <c r="H53" i="3" s="1"/>
  <c r="D28" i="3"/>
  <c r="G53" i="3" l="1" a="1"/>
  <c r="G53" i="3" s="1"/>
  <c r="X53" i="3" a="1"/>
  <c r="X53" i="3" s="1"/>
  <c r="F35" i="3" s="1"/>
  <c r="F53" i="3" a="1"/>
  <c r="F53" i="3" s="1"/>
  <c r="I45" i="3"/>
  <c r="F36" i="3" l="1"/>
  <c r="I53" i="3" a="1"/>
  <c r="I53" i="3" s="1"/>
  <c r="J53" i="3" a="1"/>
  <c r="J53"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<sst xmlns="http://schemas.openxmlformats.org/spreadsheetml/2006/main" count="330" uniqueCount="240">
  <si>
    <t>Internal Lists with answers for each question</t>
  </si>
  <si>
    <t>Townhouse</t>
  </si>
  <si>
    <t>Semidetached house</t>
  </si>
  <si>
    <t>Detached house</t>
  </si>
  <si>
    <t>Apartment</t>
  </si>
  <si>
    <t>Construction lot</t>
  </si>
  <si>
    <t>PAGE 1</t>
  </si>
  <si>
    <t>to rent out</t>
  </si>
  <si>
    <t>private sale</t>
  </si>
  <si>
    <t>public auction</t>
  </si>
  <si>
    <t>under VAT regime</t>
  </si>
  <si>
    <t>Conditional Question, if:</t>
  </si>
  <si>
    <t>Yes</t>
  </si>
  <si>
    <t>No</t>
  </si>
  <si>
    <t>With registration fees</t>
  </si>
  <si>
    <t>Under VAT regime</t>
  </si>
  <si>
    <t>Internal Calculation</t>
  </si>
  <si>
    <t>Payment
Date</t>
  </si>
  <si>
    <t>Beginning
Balance</t>
  </si>
  <si>
    <t>Scheduled Payment</t>
  </si>
  <si>
    <t>Principal</t>
  </si>
  <si>
    <t>Interest</t>
  </si>
  <si>
    <t>Ending
Balance</t>
  </si>
  <si>
    <t>Loan Amount</t>
  </si>
  <si>
    <t>Loan Period in Years</t>
  </si>
  <si>
    <t>Number of Payments per Year</t>
  </si>
  <si>
    <t>Scheduled Number of Payments</t>
  </si>
  <si>
    <t>Monthly Payment</t>
  </si>
  <si>
    <t>Start Loan Date (dd/mm/yyyy)</t>
  </si>
  <si>
    <t>End Loan Date (dd/mm/yyyy)</t>
  </si>
  <si>
    <t>Price of Purchase</t>
  </si>
  <si>
    <t>Own Funds</t>
  </si>
  <si>
    <t>Penalty</t>
  </si>
  <si>
    <t>Early Payment</t>
  </si>
  <si>
    <t>Total Extra Payment</t>
  </si>
  <si>
    <t>Total Extra
Payment</t>
  </si>
  <si>
    <t>Early payments Simulation</t>
  </si>
  <si>
    <t>Nº</t>
  </si>
  <si>
    <t>Age Limitation</t>
  </si>
  <si>
    <t>Range:</t>
  </si>
  <si>
    <t>Between</t>
  </si>
  <si>
    <t>Minimum</t>
  </si>
  <si>
    <t>Maximum</t>
  </si>
  <si>
    <t>Annual Rate</t>
  </si>
  <si>
    <t>Borrower 1</t>
  </si>
  <si>
    <t>Borrower 2</t>
  </si>
  <si>
    <t>Birthday</t>
  </si>
  <si>
    <t>Age</t>
  </si>
  <si>
    <t>Loan Period Range</t>
  </si>
  <si>
    <t>From</t>
  </si>
  <si>
    <t>To</t>
  </si>
  <si>
    <t>Loan not allowed</t>
  </si>
  <si>
    <t>Decrease Yearly</t>
  </si>
  <si>
    <t>Monthly Income</t>
  </si>
  <si>
    <t>Annual Income</t>
  </si>
  <si>
    <t>Maximum Loan</t>
  </si>
  <si>
    <t>Minimum Loan</t>
  </si>
  <si>
    <t>Purchase Price</t>
  </si>
  <si>
    <t>Note: most places accept loans from 4.5 to 5.5 times the annual income</t>
  </si>
  <si>
    <t>Borrower Range</t>
  </si>
  <si>
    <t>Base for Range:</t>
  </si>
  <si>
    <t>PMT limitation</t>
  </si>
  <si>
    <t>Maximum monthly payment</t>
  </si>
  <si>
    <t>% of salary</t>
  </si>
  <si>
    <t>Higher:</t>
  </si>
  <si>
    <t>Base of the rate/ multiplier</t>
  </si>
  <si>
    <t>Years</t>
  </si>
  <si>
    <t>Range</t>
  </si>
  <si>
    <t>Multiplier</t>
  </si>
  <si>
    <t>Available to pay</t>
  </si>
  <si>
    <t>Count of possible values</t>
  </si>
  <si>
    <t>Base List:</t>
  </si>
  <si>
    <t>Name</t>
  </si>
  <si>
    <t>Sequence</t>
  </si>
  <si>
    <t>List_1</t>
  </si>
  <si>
    <t>List_2</t>
  </si>
  <si>
    <t>List_3</t>
  </si>
  <si>
    <t>List_4</t>
  </si>
  <si>
    <t>List_5</t>
  </si>
  <si>
    <t>List_6</t>
  </si>
  <si>
    <t>List_7</t>
  </si>
  <si>
    <t>List_8</t>
  </si>
  <si>
    <t>List_9</t>
  </si>
  <si>
    <t>List_10</t>
  </si>
  <si>
    <t>List_11</t>
  </si>
  <si>
    <t>List_12</t>
  </si>
  <si>
    <t>List_13</t>
  </si>
  <si>
    <t>List_14</t>
  </si>
  <si>
    <t>List_15</t>
  </si>
  <si>
    <t>List_16</t>
  </si>
  <si>
    <t>List_17</t>
  </si>
  <si>
    <t>List_18</t>
  </si>
  <si>
    <t>List_19</t>
  </si>
  <si>
    <t>List_20</t>
  </si>
  <si>
    <t>List_21</t>
  </si>
  <si>
    <t>List_22</t>
  </si>
  <si>
    <t>List_23</t>
  </si>
  <si>
    <t>List_24</t>
  </si>
  <si>
    <t>List_25</t>
  </si>
  <si>
    <t>List_26</t>
  </si>
  <si>
    <t>Above Limit</t>
  </si>
  <si>
    <t>Base Years:</t>
  </si>
  <si>
    <t>List_27</t>
  </si>
  <si>
    <t>Above Limit:</t>
  </si>
  <si>
    <t>Brussels</t>
  </si>
  <si>
    <t>Wallonia</t>
  </si>
  <si>
    <t>Increased registration (12%)</t>
  </si>
  <si>
    <t>With abatement of 175.000 EUR</t>
  </si>
  <si>
    <t>Normal registration (12,5%)</t>
  </si>
  <si>
    <t>Normal Registration (3%)</t>
  </si>
  <si>
    <t>Normal registration (12,5%) + normal abatement</t>
  </si>
  <si>
    <t>Reduced registration (6%)</t>
  </si>
  <si>
    <t>Reduced registration (6%) + normal abatement</t>
  </si>
  <si>
    <t>Flanders</t>
  </si>
  <si>
    <t>Loan Simulator</t>
  </si>
  <si>
    <t>Property</t>
  </si>
  <si>
    <t>Please answer some basic questions about the property you are buying:</t>
  </si>
  <si>
    <t>Purchase price of construction (without VAT)?</t>
  </si>
  <si>
    <t>a) Is it a purchase on plan?</t>
  </si>
  <si>
    <t>b) Type of your purchase of the contruction lot</t>
  </si>
  <si>
    <t>c) Purchase price of the land:</t>
  </si>
  <si>
    <t>c) Purchase price of the land (without VAT)?</t>
  </si>
  <si>
    <t>1. What are you buying?</t>
  </si>
  <si>
    <t>2. Project Purpose</t>
  </si>
  <si>
    <t>3. What is the type of your purchase?</t>
  </si>
  <si>
    <t>4. Where is your project alocated?</t>
  </si>
  <si>
    <t>Welcome to the Loan Simulator, please answer all the questions and follow the instructions below</t>
  </si>
  <si>
    <t>REF FOR CONDITIONAL LIST</t>
  </si>
  <si>
    <t>CONDITIONAL TO ANSWER</t>
  </si>
  <si>
    <t>Location, Taxes and Price</t>
  </si>
  <si>
    <t>Please confirm where is your purchase located, the taxation applicable and price of your purchase</t>
  </si>
  <si>
    <t>Your Project</t>
  </si>
  <si>
    <t>&lt;- empty reference for list, do not change this</t>
  </si>
  <si>
    <t>Taxation List will appear according to reagion selected</t>
  </si>
  <si>
    <t>Add Ins</t>
  </si>
  <si>
    <t>Your Revenues</t>
  </si>
  <si>
    <t>Additional Information</t>
  </si>
  <si>
    <t>Simulation</t>
  </si>
  <si>
    <t>Count</t>
  </si>
  <si>
    <t>Questions</t>
  </si>
  <si>
    <t>Answers</t>
  </si>
  <si>
    <t>Add Renovations</t>
  </si>
  <si>
    <t>Add Bridge Loan</t>
  </si>
  <si>
    <t>Would you like to include renovations in your simulation?</t>
  </si>
  <si>
    <t>Would you like to include renovations?</t>
  </si>
  <si>
    <t>PAGE 2</t>
  </si>
  <si>
    <t>ADD IN</t>
  </si>
  <si>
    <t>YOUR PROJECT</t>
  </si>
  <si>
    <t>Would you like to include Bridge Loan?</t>
  </si>
  <si>
    <r>
      <t xml:space="preserve">A bridge loan will enable you to finance, in whole or in part, your new project through </t>
    </r>
    <r>
      <rPr>
        <b/>
        <i/>
        <sz val="9"/>
        <color theme="1"/>
        <rFont val="Calibri Light"/>
        <family val="2"/>
        <scheme val="major"/>
      </rPr>
      <t>the sale of your previous property</t>
    </r>
    <r>
      <rPr>
        <i/>
        <sz val="9"/>
        <color theme="1"/>
        <rFont val="Calibri Light"/>
        <family val="2"/>
        <scheme val="major"/>
      </rPr>
      <t>. Even if your old property is still for sale. The maximum duration of a bridge loan is 12 months.</t>
    </r>
  </si>
  <si>
    <t>Sales agreement</t>
  </si>
  <si>
    <t>Please fill out all necessary information and change the selection for 2 borrowers:</t>
  </si>
  <si>
    <t>Personal Information</t>
  </si>
  <si>
    <t>Date of Birth</t>
  </si>
  <si>
    <t>Monthly Net Salary</t>
  </si>
  <si>
    <t>PAGE 3</t>
  </si>
  <si>
    <t>Date Validation</t>
  </si>
  <si>
    <t>Minimum:</t>
  </si>
  <si>
    <t>Today</t>
  </si>
  <si>
    <t>Minimum Age:</t>
  </si>
  <si>
    <t>Maximum Age:</t>
  </si>
  <si>
    <t>Replacement</t>
  </si>
  <si>
    <t>None</t>
  </si>
  <si>
    <t>Early Retirement</t>
  </si>
  <si>
    <t>Pensions</t>
  </si>
  <si>
    <t>Unemployment Benefits</t>
  </si>
  <si>
    <t>Sickness and Disability Benefits</t>
  </si>
  <si>
    <t>Additional wage when sick or involver in accident</t>
  </si>
  <si>
    <t>Other</t>
  </si>
  <si>
    <t>Value of Monthly Rental Income, if applicable:</t>
  </si>
  <si>
    <t>Type of Replacement Income</t>
  </si>
  <si>
    <t>Total Net Income</t>
  </si>
  <si>
    <t>2 borrower</t>
  </si>
  <si>
    <t>Mandatory Questions</t>
  </si>
  <si>
    <t>Conditional Question</t>
  </si>
  <si>
    <t>Borrowers</t>
  </si>
  <si>
    <t>Additional Information on the Borrowers</t>
  </si>
  <si>
    <t>If the question applies for at least one of the borrowers, please select yes.</t>
  </si>
  <si>
    <t>Have you taken a mortage loan before?</t>
  </si>
  <si>
    <t>Do you still have other existing loans?</t>
  </si>
  <si>
    <t>Monthly amount payed in the existing loan</t>
  </si>
  <si>
    <t>How many people under your care?</t>
  </si>
  <si>
    <t>Ho much is the rent?</t>
  </si>
  <si>
    <t>How much do you Pay Alimony charges? (If Applicable)</t>
  </si>
  <si>
    <t>Will you continue to pay another rent?</t>
  </si>
  <si>
    <t>YesNo</t>
  </si>
  <si>
    <t>2nd borrower reference:</t>
  </si>
  <si>
    <t>Ref to "Your Project"</t>
  </si>
  <si>
    <t>Summary</t>
  </si>
  <si>
    <t>Income</t>
  </si>
  <si>
    <t>Expenses</t>
  </si>
  <si>
    <t>Total Income Available</t>
  </si>
  <si>
    <t>AGE</t>
  </si>
  <si>
    <t>People under your care:</t>
  </si>
  <si>
    <t>CALCULATION OF MONTHLY LOAN PAYABLE</t>
  </si>
  <si>
    <t>PAGE 4</t>
  </si>
  <si>
    <t>ADDITIONAL INFORMATION</t>
  </si>
  <si>
    <t>MONTHLY PAYMENT CALCULATION</t>
  </si>
  <si>
    <t>INTERNAL REFERENCE FOR FILTER</t>
  </si>
  <si>
    <t>Information on the Project:</t>
  </si>
  <si>
    <t>to live in</t>
  </si>
  <si>
    <t>to both live and rent out</t>
  </si>
  <si>
    <t xml:space="preserve">Unkown </t>
  </si>
  <si>
    <t>Unkown</t>
  </si>
  <si>
    <t>●</t>
  </si>
  <si>
    <t>Renovations</t>
  </si>
  <si>
    <t>Bridge</t>
  </si>
  <si>
    <t>Keep in mind that this is only a simulation and all values will be confirmed after checking the necessary documents provided to advance with the loan request</t>
  </si>
  <si>
    <t>Would you like to include the calculation of an early payment?</t>
  </si>
  <si>
    <t>First Year:</t>
  </si>
  <si>
    <t>Between second and Forfth Year</t>
  </si>
  <si>
    <t>After the Fifth Year:</t>
  </si>
  <si>
    <t>Penalty for early Payment based on remaining value</t>
  </si>
  <si>
    <t>1 Borrower</t>
  </si>
  <si>
    <t>CLICK HERE TO START 
THE SIMULATION</t>
  </si>
  <si>
    <t xml:space="preserve">         Loan Simulator</t>
  </si>
  <si>
    <t xml:space="preserve">    Loan Simulator</t>
  </si>
  <si>
    <t>Add In</t>
  </si>
  <si>
    <t>Tax</t>
  </si>
  <si>
    <t>Text</t>
  </si>
  <si>
    <t>Real estate purchases other than the purchase of the sole family home. Use for the purchase of a second home, building plot, non-residentional property, etc.</t>
  </si>
  <si>
    <t>Sole family home; must be residence (no building plots); the buyer of the property must not own any other property or building land</t>
  </si>
  <si>
    <t>An allowance of 20.000, applicable under certain conditions, will represent a tax saving of 2.500 euros</t>
  </si>
  <si>
    <t>The total cadastral*monthly income cannot exceed 750. For purchases on properties made in "high-pressure zones", this rate is applicable for up to 177.884,34 and up to 166.766,56 for properties not in the pressure zones. Every cent after these two amounts are subject to the 12,5% rate</t>
  </si>
  <si>
    <t>The total cadastral*monthly income cannot exceed 750. For purchases on properties made in "high-pressure zones", this rate is applicable for up to 177.884,34 and up to 166.766,56 for properties not in the pressure zones. Every cent after these two amounts are subject to the 12,5% rate. An allowance of 20.000, applicable under certain conditions, will represent a tax saving of 2.500 euros</t>
  </si>
  <si>
    <t xml:space="preserve">If the total price (plus charges) or market value exceeds 500.000, then no abatement is applicable. None of the purchasers may own the full freehold of another property intended in whole or in part for housing. Must live in the home for 5 years (minimum). </t>
  </si>
  <si>
    <t xml:space="preserve"> </t>
  </si>
  <si>
    <t>No Abatement</t>
  </si>
  <si>
    <t>5. What is the purchase price?</t>
  </si>
  <si>
    <t>6. Taxation Applicable</t>
  </si>
  <si>
    <t>Loan</t>
  </si>
  <si>
    <t>Your Interest Rate</t>
  </si>
  <si>
    <t>APR</t>
  </si>
  <si>
    <t>Monthly Total Rate</t>
  </si>
  <si>
    <t>Payment Schedule for Loan</t>
  </si>
  <si>
    <t>BRIDGE LOAN</t>
  </si>
  <si>
    <t>Amount</t>
  </si>
  <si>
    <t>Fixed Rate</t>
  </si>
  <si>
    <t>Costs related to the Project</t>
  </si>
  <si>
    <t>Total 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</si>
</sst>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R$&quot;\ #,##0.00;[Red]\-&quot;R$&quot;\ #,##0.00"/>
    <numFmt numFmtId="165" formatCode="_-&quot;R$&quot;\ * #,##0.00_-;\-&quot;R$&quot;\ * #,##0.00_-;_-&quot;R$&quot;\ * &quot;-&quot;??_-;_-@_-"/>
    <numFmt numFmtId="166" formatCode="&quot;$&quot;#,##0.00"/>
    <numFmt numFmtId="167" formatCode="_-[$€-2]\ * #,##0.00_-;\-[$€-2]\ * #,##0.00_-;_-[$€-2]\ * &quot;-&quot;??_-;_-@_-"/>
    <numFmt numFmtId="168" formatCode="0_ ;\-0\ "/>
    <numFmt numFmtId="169" formatCode="#,##0_ ;\-#,##0\ "/>
    <numFmt numFmtId="170" formatCode="[$€-2]\ #,##0.00;\-[$€-2]\ #,##0.00"/>
    <numFmt numFmtId="171" formatCode="0.0%"/>
  </numFmts>
  <fonts count="69" x14ac:knownFonts="1">
    <font>
      <sz val="9"/>
      <color theme="1"/>
      <name val="Verdana"/>
      <family val="2"/>
    </font>
    <font>
      <sz val="8"/>
      <name val="Verdana"/>
      <family val="2"/>
    </font>
    <font>
      <sz val="9"/>
      <color theme="1"/>
      <name val="Verdana"/>
      <family val="2"/>
    </font>
    <font>
      <b/>
      <sz val="12"/>
      <color rgb="FF404040"/>
      <name val="Calibri"/>
      <family val="2"/>
    </font>
    <font>
      <sz val="9"/>
      <color theme="1"/>
      <name val="Calibri Light"/>
      <family val="2"/>
      <scheme val="major"/>
    </font>
    <font>
      <b/>
      <sz val="16"/>
      <color rgb="FF0070C0"/>
      <name val="Calibri"/>
      <family val="2"/>
    </font>
    <font>
      <sz val="11"/>
      <color rgb="FF000000"/>
      <name val="Calibri"/>
      <family val="2"/>
    </font>
    <font>
      <b/>
      <sz val="14"/>
      <color rgb="FF404040"/>
      <name val="Calibri"/>
      <family val="2"/>
    </font>
    <font>
      <i/>
      <sz val="11"/>
      <color rgb="FF595959"/>
      <name val="Calibri"/>
      <family val="2"/>
    </font>
    <font>
      <b/>
      <sz val="11"/>
      <color rgb="FF635C50"/>
      <name val="Calibri"/>
      <family val="2"/>
    </font>
    <font>
      <b/>
      <sz val="9"/>
      <color theme="1"/>
      <name val="Calibri Light"/>
      <family val="2"/>
      <scheme val="major"/>
    </font>
    <font>
      <b/>
      <sz val="9"/>
      <color theme="0"/>
      <name val="Calibri Light"/>
      <family val="2"/>
      <scheme val="major"/>
    </font>
    <font>
      <sz val="9"/>
      <color theme="0"/>
      <name val="Calibri Light"/>
      <family val="2"/>
      <scheme val="major"/>
    </font>
    <font>
      <b/>
      <sz val="9"/>
      <color theme="3"/>
      <name val="Calibri Light"/>
      <family val="2"/>
      <scheme val="major"/>
    </font>
    <font>
      <b/>
      <sz val="9"/>
      <color theme="0"/>
      <name val="Verdana"/>
      <family val="2"/>
    </font>
    <font>
      <sz val="15"/>
      <color theme="5" tint="-0.499984740745262"/>
      <name val="Impact"/>
      <family val="2"/>
    </font>
    <font>
      <sz val="9"/>
      <color theme="5" tint="-0.499984740745262"/>
      <name val="Calibri Light"/>
      <family val="2"/>
      <scheme val="major"/>
    </font>
    <font>
      <i/>
      <sz val="9"/>
      <color theme="1"/>
      <name val="Calibri Light"/>
      <family val="2"/>
      <scheme val="major"/>
    </font>
    <font>
      <sz val="20"/>
      <color theme="0"/>
      <name val="Impact"/>
      <family val="2"/>
    </font>
    <font>
      <sz val="20"/>
      <color theme="1"/>
      <name val="Impact"/>
      <family val="2"/>
    </font>
    <font>
      <sz val="10"/>
      <color theme="5" tint="-0.499984740745262"/>
      <name val="Impact"/>
      <family val="2"/>
    </font>
    <font>
      <b/>
      <sz val="9"/>
      <color theme="5" tint="-0.499984740745262"/>
      <name val="Calibri Light"/>
      <family val="2"/>
      <scheme val="major"/>
    </font>
    <font>
      <sz val="9"/>
      <color rgb="FFFF0000"/>
      <name val="Calibri Light"/>
      <family val="2"/>
      <scheme val="major"/>
    </font>
    <font>
      <u/>
      <sz val="9"/>
      <color theme="10"/>
      <name val="Verdana"/>
      <family val="2"/>
    </font>
    <font>
      <sz val="8"/>
      <color theme="5" tint="-0.499984740745262"/>
      <name val="Impact"/>
      <family val="2"/>
    </font>
    <font>
      <b/>
      <sz val="10"/>
      <color rgb="FFFF0000"/>
      <name val="Calibri Light"/>
      <family val="2"/>
      <scheme val="major"/>
    </font>
    <font>
      <sz val="9"/>
      <color theme="4"/>
      <name val="Impact"/>
      <family val="2"/>
    </font>
    <font>
      <sz val="12"/>
      <color theme="4"/>
      <name val="Impact"/>
      <family val="2"/>
    </font>
    <font>
      <sz val="14"/>
      <color theme="4"/>
      <name val="Impact"/>
      <family val="2"/>
    </font>
    <font>
      <sz val="22"/>
      <color theme="4"/>
      <name val="Impact"/>
      <family val="2"/>
    </font>
    <font>
      <b/>
      <sz val="6"/>
      <color theme="4" tint="0.39997558519241921"/>
      <name val="Calibri Light"/>
      <family val="2"/>
      <scheme val="major"/>
    </font>
    <font>
      <sz val="9"/>
      <color theme="1"/>
      <name val="Impact"/>
      <family val="2"/>
    </font>
    <font>
      <b/>
      <i/>
      <sz val="9"/>
      <color theme="1"/>
      <name val="Calibri Light"/>
      <family val="2"/>
      <scheme val="major"/>
    </font>
    <font>
      <sz val="12"/>
      <color theme="0"/>
      <name val="Impact"/>
      <family val="2"/>
    </font>
    <font>
      <sz val="12"/>
      <color theme="5" tint="-0.499984740745262"/>
      <name val="Impact"/>
      <family val="2"/>
    </font>
    <font>
      <sz val="11"/>
      <color theme="5" tint="-0.499984740745262"/>
      <name val="Impact"/>
      <family val="2"/>
    </font>
    <font>
      <b/>
      <sz val="11"/>
      <color theme="5" tint="-0.499984740745262"/>
      <name val="Calibri Light"/>
      <family val="2"/>
      <scheme val="major"/>
    </font>
    <font>
      <b/>
      <sz val="8"/>
      <color rgb="FFFF0000"/>
      <name val="Calibri Light"/>
      <family val="2"/>
      <scheme val="major"/>
    </font>
    <font>
      <sz val="10"/>
      <color theme="9"/>
      <name val="Impact"/>
      <family val="2"/>
    </font>
    <font>
      <b/>
      <sz val="9"/>
      <color theme="9"/>
      <name val="Calibri Light"/>
      <family val="2"/>
      <scheme val="major"/>
    </font>
    <font>
      <sz val="10"/>
      <color theme="0"/>
      <name val="Impact"/>
      <family val="2"/>
    </font>
    <font>
      <sz val="9"/>
      <color theme="5" tint="-0.249977111117893"/>
      <name val="Verdana"/>
      <family val="2"/>
    </font>
    <font>
      <i/>
      <sz val="8"/>
      <color theme="1"/>
      <name val="Calibri Light"/>
      <family val="2"/>
      <scheme val="major"/>
    </font>
    <font>
      <sz val="9"/>
      <color theme="0" tint="-0.499984740745262"/>
      <name val="Calibri Light"/>
      <family val="2"/>
      <scheme val="major"/>
    </font>
    <font>
      <sz val="9"/>
      <color theme="5"/>
      <name val="Calibri Light"/>
      <family val="2"/>
      <scheme val="major"/>
    </font>
    <font>
      <b/>
      <sz val="12"/>
      <color theme="5"/>
      <name val="Calibri Light"/>
      <family val="2"/>
      <scheme val="major"/>
    </font>
    <font>
      <b/>
      <sz val="12"/>
      <color theme="0" tint="-0.34998626667073579"/>
      <name val="Calibri Light"/>
      <family val="2"/>
      <scheme val="major"/>
    </font>
    <font>
      <sz val="14"/>
      <color theme="1"/>
      <name val="Calibri Light"/>
      <family val="2"/>
      <scheme val="major"/>
    </font>
    <font>
      <b/>
      <sz val="14"/>
      <color rgb="FF6B00B4"/>
      <name val="Calibri Light"/>
      <family val="2"/>
      <scheme val="major"/>
    </font>
    <font>
      <b/>
      <sz val="14"/>
      <color theme="6"/>
      <name val="Calibri Light"/>
      <family val="2"/>
      <scheme val="major"/>
    </font>
    <font>
      <b/>
      <sz val="9"/>
      <color theme="5" tint="-0.249977111117893"/>
      <name val="Calibri Light"/>
      <family val="2"/>
      <scheme val="major"/>
    </font>
    <font>
      <sz val="12"/>
      <color theme="1"/>
      <name val="Calibri Light"/>
      <family val="2"/>
      <scheme val="major"/>
    </font>
    <font>
      <b/>
      <sz val="12"/>
      <color theme="5" tint="-0.249977111117893"/>
      <name val="Calibri Light"/>
      <family val="2"/>
      <scheme val="major"/>
    </font>
    <font>
      <b/>
      <sz val="14"/>
      <color theme="5" tint="-0.249977111117893"/>
      <name val="Calibri Light"/>
      <family val="2"/>
      <scheme val="major"/>
    </font>
    <font>
      <b/>
      <i/>
      <sz val="8"/>
      <color theme="4"/>
      <name val="Calibri Light"/>
      <family val="2"/>
      <scheme val="major"/>
    </font>
    <font>
      <b/>
      <sz val="9"/>
      <color theme="4"/>
      <name val="Calibri Light"/>
      <family val="2"/>
      <scheme val="major"/>
    </font>
    <font>
      <b/>
      <sz val="11"/>
      <color theme="1"/>
      <name val="Calibri Light"/>
      <family val="2"/>
      <scheme val="major"/>
    </font>
    <font>
      <sz val="9"/>
      <color theme="0"/>
      <name val="Verdana"/>
      <family val="2"/>
    </font>
    <font>
      <sz val="22"/>
      <color theme="0"/>
      <name val="Impact"/>
      <family val="2"/>
    </font>
    <font>
      <sz val="22"/>
      <color theme="5"/>
      <name val="Impact"/>
      <family val="2"/>
    </font>
    <font>
      <sz val="11"/>
      <color rgb="FFC00000"/>
      <name val="Impact"/>
      <family val="2"/>
    </font>
    <font>
      <sz val="9"/>
      <color theme="1" tint="0.499984740745262"/>
      <name val="Calibri Light"/>
      <family val="2"/>
      <scheme val="major"/>
    </font>
    <font>
      <b/>
      <sz val="10"/>
      <color theme="5" tint="-0.249977111117893"/>
      <name val="Calibri Light"/>
      <family val="2"/>
      <scheme val="major"/>
    </font>
    <font>
      <sz val="9"/>
      <color theme="0" tint="-0.249977111117893"/>
      <name val="Calibri Light"/>
      <family val="2"/>
      <scheme val="major"/>
    </font>
    <font>
      <b/>
      <sz val="14"/>
      <color theme="5" tint="-0.499984740745262"/>
      <name val="Calibri Light"/>
      <family val="2"/>
      <scheme val="major"/>
    </font>
    <font>
      <b/>
      <sz val="9"/>
      <color theme="4" tint="-0.499984740745262"/>
      <name val="Calibri Light"/>
      <family val="2"/>
      <scheme val="major"/>
    </font>
    <font>
      <b/>
      <u/>
      <sz val="10"/>
      <color theme="4" tint="-0.499984740745262"/>
      <name val="Calibri Light"/>
      <family val="2"/>
      <scheme val="major"/>
    </font>
    <font>
      <sz val="14"/>
      <color theme="5" tint="-0.249977111117893"/>
      <name val="Impact"/>
      <family val="2"/>
    </font>
    <font>
      <b/>
      <u/>
      <sz val="10"/>
      <color rgb="FFFF0000"/>
      <name val="Calibri Light"/>
      <family val="2"/>
      <scheme val="major"/>
    </font>
  </fonts>
  <fills count="18">
    <fill>
      <patternFill patternType="none"/>
    </fill>
    <fill>
      <patternFill patternType="gray125"/>
    </fill>
    <fill>
      <patternFill patternType="solid">
        <fgColor theme="0" tint="-4.9989318521683403E-2"/>
        <bgColor indexed="64"/>
      </patternFill>
    </fill>
    <fill>
      <patternFill patternType="solid">
        <fgColor rgb="FFE6F2E6"/>
        <bgColor rgb="FFE6F2E6"/>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5" tint="-0.499984740745262"/>
        <bgColor indexed="64"/>
      </patternFill>
    </fill>
    <fill>
      <patternFill patternType="solid">
        <fgColor theme="5" tint="0.79998168889431442"/>
        <bgColor indexed="64"/>
      </patternFill>
    </fill>
    <fill>
      <patternFill patternType="solid">
        <fgColor theme="5"/>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bgColor indexed="64"/>
      </patternFill>
    </fill>
    <fill>
      <patternFill patternType="solid">
        <fgColor theme="5" tint="0.59999389629810485"/>
        <bgColor indexed="64"/>
      </patternFill>
    </fill>
  </fills>
  <borders count="31">
    <border>
      <left/>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bottom style="medium">
        <color rgb="FF376B36"/>
      </bottom>
      <diagonal/>
    </border>
    <border>
      <left/>
      <right/>
      <top style="thin">
        <color rgb="FF808080"/>
      </top>
      <bottom style="thin">
        <color rgb="FF808080"/>
      </bottom>
      <diagonal/>
    </border>
    <border>
      <left/>
      <right/>
      <top style="thin">
        <color rgb="FF376B36"/>
      </top>
      <bottom style="thin">
        <color rgb="FF376B36"/>
      </bottom>
      <diagonal/>
    </border>
    <border>
      <left style="thin">
        <color theme="0"/>
      </left>
      <right style="thin">
        <color theme="0"/>
      </right>
      <top style="thin">
        <color theme="0"/>
      </top>
      <bottom style="thin">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right/>
      <top/>
      <bottom style="thin">
        <color theme="5" tint="-0.499984740745262"/>
      </bottom>
      <diagonal/>
    </border>
    <border>
      <left/>
      <right/>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right/>
      <top style="thin">
        <color theme="5" tint="-0.499984740745262"/>
      </top>
      <bottom style="thin">
        <color theme="4" tint="-0.249977111117893"/>
      </bottom>
      <diagonal/>
    </border>
    <border>
      <left style="thin">
        <color theme="4" tint="-0.249977111117893"/>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style="thin">
        <color theme="4" tint="-0.249977111117893"/>
      </right>
      <top/>
      <bottom/>
      <diagonal/>
    </border>
    <border>
      <left/>
      <right/>
      <top/>
      <bottom style="thin">
        <color theme="3" tint="0.39997558519241921"/>
      </bottom>
      <diagonal/>
    </border>
    <border>
      <left style="thin">
        <color theme="3" tint="0.39997558519241921"/>
      </left>
      <right/>
      <top style="thin">
        <color theme="3" tint="0.39997558519241921"/>
      </top>
      <bottom style="thin">
        <color theme="3" tint="0.39997558519241921"/>
      </bottom>
      <diagonal/>
    </border>
    <border>
      <left/>
      <right/>
      <top style="thin">
        <color theme="4" tint="-0.249977111117893"/>
      </top>
      <bottom style="thin">
        <color theme="4" tint="-0.249977111117893"/>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hair">
        <color theme="5"/>
      </left>
      <right/>
      <top style="hair">
        <color theme="5"/>
      </top>
      <bottom/>
      <diagonal/>
    </border>
    <border>
      <left/>
      <right/>
      <top style="hair">
        <color theme="5"/>
      </top>
      <bottom/>
      <diagonal/>
    </border>
    <border>
      <left/>
      <right style="hair">
        <color theme="5"/>
      </right>
      <top style="hair">
        <color theme="5"/>
      </top>
      <bottom/>
      <diagonal/>
    </border>
    <border>
      <left style="hair">
        <color theme="5"/>
      </left>
      <right/>
      <top style="thin">
        <color theme="0"/>
      </top>
      <bottom style="thin">
        <color theme="0"/>
      </bottom>
      <diagonal/>
    </border>
    <border>
      <left style="thin">
        <color theme="0"/>
      </left>
      <right style="hair">
        <color theme="5"/>
      </right>
      <top style="thin">
        <color theme="0"/>
      </top>
      <bottom style="thin">
        <color theme="0"/>
      </bottom>
      <diagonal/>
    </border>
    <border>
      <left/>
      <right style="hair">
        <color theme="5"/>
      </right>
      <top/>
      <bottom/>
      <diagonal/>
    </border>
    <border>
      <left style="hair">
        <color theme="5"/>
      </left>
      <right/>
      <top/>
      <bottom/>
      <diagonal/>
    </border>
    <border>
      <left style="hair">
        <color theme="5"/>
      </left>
      <right/>
      <top/>
      <bottom style="hair">
        <color theme="5"/>
      </bottom>
      <diagonal/>
    </border>
    <border>
      <left/>
      <right/>
      <top/>
      <bottom style="hair">
        <color theme="5"/>
      </bottom>
      <diagonal/>
    </border>
    <border>
      <left/>
      <right style="hair">
        <color theme="5"/>
      </right>
      <top/>
      <bottom style="hair">
        <color theme="5"/>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s>
  <cellStyleXfs count="15">
    <xf numFmtId="0" fontId="0" fillId="0" borderId="0"/>
    <xf numFmtId="0" fontId="3" fillId="0" borderId="0" applyNumberFormat="0" applyFill="0" applyBorder="0" applyProtection="0">
      <alignment horizontal="center" vertical="center" wrapText="1"/>
    </xf>
    <xf numFmtId="0" fontId="5" fillId="0" borderId="0" applyNumberFormat="0" applyFill="0" applyBorder="0" applyProtection="0">
      <alignment horizontal="left" vertical="center" wrapText="1" indent="1"/>
    </xf>
    <xf numFmtId="0" fontId="6" fillId="0" borderId="0"/>
    <xf numFmtId="0" fontId="7" fillId="0" borderId="2" applyNumberFormat="0" applyFill="0" applyProtection="0">
      <alignment vertical="center"/>
    </xf>
    <xf numFmtId="0" fontId="8" fillId="0" borderId="3" applyNumberFormat="0" applyProtection="0">
      <alignment vertical="center"/>
    </xf>
    <xf numFmtId="166" fontId="6" fillId="0" borderId="0" applyFont="0" applyFill="0" applyBorder="0" applyAlignment="0" applyProtection="0"/>
    <xf numFmtId="0" fontId="6" fillId="3" borderId="0" applyNumberFormat="0" applyFont="0" applyBorder="0" applyAlignment="0" applyProtection="0"/>
    <xf numFmtId="10" fontId="6" fillId="0" borderId="0" applyFont="0" applyFill="0" applyBorder="0" applyAlignment="0" applyProtection="0"/>
    <xf numFmtId="1" fontId="6" fillId="0" borderId="0" applyFont="0" applyFill="0" applyBorder="0" applyAlignment="0" applyProtection="0"/>
    <xf numFmtId="14" fontId="6" fillId="0" borderId="0" applyFont="0" applyFill="0" applyBorder="0" applyAlignment="0" applyProtection="0"/>
    <xf numFmtId="0" fontId="9" fillId="0" borderId="4" applyNumberFormat="0" applyFill="0" applyProtection="0">
      <alignment vertical="center"/>
    </xf>
    <xf numFmtId="166" fontId="6" fillId="0" borderId="0" applyFont="0" applyFill="0" applyBorder="0" applyProtection="0">
      <alignment horizontal="right" indent="2"/>
    </xf>
    <xf numFmtId="165" fontId="2" fillId="0" borderId="0" applyFont="0" applyFill="0" applyBorder="0" applyAlignment="0" applyProtection="0"/>
    <xf numFmtId="0" fontId="23" fillId="0" borderId="0" applyNumberFormat="0" applyFill="0" applyBorder="0" applyAlignment="0" applyProtection="0"/>
  </cellStyleXfs>
  <cellXfs count="270">
    <xf numFmtId="0" fontId="0" fillId="0" borderId="0" xfId="0"/>
    <xf numFmtId="0" fontId="18" fillId="11" borderId="0" xfId="0" applyFont="1" applyFill="1" applyAlignment="1">
      <alignment horizontal="center" vertical="center"/>
    </xf>
    <xf numFmtId="0" fontId="4" fillId="0" borderId="0" xfId="0" applyFont="1"/>
    <xf numFmtId="0" fontId="4" fillId="0" borderId="0" xfId="0" applyFont="1" applyAlignment="1">
      <alignment vertical="center" wrapText="1"/>
    </xf>
    <xf numFmtId="0" fontId="4" fillId="0" borderId="0" xfId="0" applyFont="1" applyAlignment="1">
      <alignment vertical="center"/>
    </xf>
    <xf numFmtId="167" fontId="4" fillId="0" borderId="0" xfId="0" applyNumberFormat="1" applyFont="1" applyAlignment="1">
      <alignment horizontal="center" vertical="center" wrapText="1"/>
    </xf>
    <xf numFmtId="0" fontId="4" fillId="0" borderId="0" xfId="0" applyFont="1" applyAlignment="1">
      <alignment horizontal="center" vertical="center" wrapText="1"/>
    </xf>
    <xf numFmtId="14" fontId="4" fillId="0" borderId="0" xfId="0" applyNumberFormat="1" applyFont="1" applyAlignment="1">
      <alignment horizontal="center" vertical="center" wrapText="1"/>
    </xf>
    <xf numFmtId="167" fontId="4" fillId="0" borderId="0" xfId="0" applyNumberFormat="1" applyFont="1"/>
    <xf numFmtId="167" fontId="4" fillId="0" borderId="0" xfId="0" applyNumberFormat="1" applyFont="1" applyAlignment="1">
      <alignment vertical="center"/>
    </xf>
    <xf numFmtId="0" fontId="4" fillId="0" borderId="0" xfId="0" applyFont="1" applyAlignment="1">
      <alignment horizontal="center"/>
    </xf>
    <xf numFmtId="0" fontId="4" fillId="0" borderId="0" xfId="0" applyFont="1" applyAlignment="1">
      <alignment horizontal="center" vertical="center"/>
    </xf>
    <xf numFmtId="14" fontId="4" fillId="0" borderId="0" xfId="0" applyNumberFormat="1" applyFont="1"/>
    <xf numFmtId="10" fontId="4" fillId="0" borderId="0" xfId="8" applyFont="1" applyAlignment="1">
      <alignment horizontal="center"/>
    </xf>
    <xf numFmtId="167" fontId="4" fillId="0" borderId="0" xfId="0" applyNumberFormat="1" applyFont="1" applyAlignment="1">
      <alignment horizontal="center" vertical="center"/>
    </xf>
    <xf numFmtId="4" fontId="4" fillId="0" borderId="0" xfId="0" applyNumberFormat="1" applyFont="1" applyAlignment="1">
      <alignment horizontal="center" vertical="center"/>
    </xf>
    <xf numFmtId="4" fontId="4" fillId="0" borderId="0" xfId="0" applyNumberFormat="1" applyFont="1" applyAlignment="1">
      <alignment horizontal="center" vertical="center" wrapText="1"/>
    </xf>
    <xf numFmtId="0" fontId="10" fillId="0" borderId="0" xfId="0" applyFont="1"/>
    <xf numFmtId="168" fontId="4" fillId="0" borderId="0" xfId="0" applyNumberFormat="1" applyFont="1"/>
    <xf numFmtId="9" fontId="4" fillId="0" borderId="0" xfId="0" applyNumberFormat="1" applyFont="1" applyAlignment="1">
      <alignment horizontal="center"/>
    </xf>
    <xf numFmtId="0" fontId="4" fillId="0" borderId="7" xfId="0" applyFont="1" applyBorder="1" applyAlignment="1">
      <alignment horizontal="center"/>
    </xf>
    <xf numFmtId="0" fontId="4" fillId="0" borderId="7" xfId="0" applyFont="1" applyBorder="1"/>
    <xf numFmtId="167" fontId="4" fillId="0" borderId="7" xfId="0" applyNumberFormat="1" applyFont="1" applyBorder="1" applyAlignment="1">
      <alignment horizontal="center"/>
    </xf>
    <xf numFmtId="167" fontId="4" fillId="0" borderId="7" xfId="0" applyNumberFormat="1" applyFont="1" applyBorder="1"/>
    <xf numFmtId="9" fontId="4" fillId="0" borderId="7" xfId="0" applyNumberFormat="1" applyFont="1" applyBorder="1"/>
    <xf numFmtId="0" fontId="0" fillId="6" borderId="0" xfId="0" applyFill="1"/>
    <xf numFmtId="0" fontId="0" fillId="6" borderId="0" xfId="0" applyFill="1" applyAlignment="1">
      <alignment horizontal="center" vertical="center"/>
    </xf>
    <xf numFmtId="0" fontId="14" fillId="7" borderId="0" xfId="0" applyFont="1" applyFill="1" applyAlignment="1">
      <alignment horizontal="center" vertical="center"/>
    </xf>
    <xf numFmtId="3" fontId="4" fillId="0" borderId="0" xfId="0" applyNumberFormat="1" applyFont="1" applyAlignment="1">
      <alignment horizontal="center" vertical="center"/>
    </xf>
    <xf numFmtId="3" fontId="4" fillId="0" borderId="0" xfId="0" applyNumberFormat="1" applyFont="1" applyAlignment="1">
      <alignment horizontal="center" vertical="center" wrapText="1"/>
    </xf>
    <xf numFmtId="0" fontId="15" fillId="0" borderId="8" xfId="0" applyFont="1" applyBorder="1" applyAlignment="1">
      <alignment vertical="center"/>
    </xf>
    <xf numFmtId="0" fontId="16" fillId="0" borderId="8" xfId="0" applyFont="1" applyBorder="1" applyAlignment="1">
      <alignment vertical="center"/>
    </xf>
    <xf numFmtId="0" fontId="17" fillId="0" borderId="0" xfId="0" applyFont="1" applyAlignment="1">
      <alignment vertical="center"/>
    </xf>
    <xf numFmtId="0" fontId="18" fillId="11" borderId="0" xfId="0" applyFont="1" applyFill="1" applyAlignment="1">
      <alignment vertical="center"/>
    </xf>
    <xf numFmtId="0" fontId="19" fillId="11" borderId="0" xfId="0" applyFont="1" applyFill="1" applyAlignment="1">
      <alignment vertical="center"/>
    </xf>
    <xf numFmtId="0" fontId="20" fillId="9" borderId="0" xfId="0" applyFont="1" applyFill="1" applyAlignment="1">
      <alignment vertical="center"/>
    </xf>
    <xf numFmtId="0" fontId="11" fillId="11" borderId="0" xfId="0" applyFont="1" applyFill="1" applyAlignment="1">
      <alignment horizontal="center" vertical="center" wrapText="1"/>
    </xf>
    <xf numFmtId="0" fontId="22" fillId="0" borderId="0" xfId="0" applyFont="1" applyAlignment="1">
      <alignment vertical="top"/>
    </xf>
    <xf numFmtId="0" fontId="24" fillId="0" borderId="0" xfId="0" applyFont="1" applyAlignment="1">
      <alignment vertical="center"/>
    </xf>
    <xf numFmtId="0" fontId="25" fillId="0" borderId="0" xfId="0" applyFont="1" applyAlignment="1">
      <alignment vertical="center"/>
    </xf>
    <xf numFmtId="0" fontId="11" fillId="0" borderId="0" xfId="0" applyFont="1" applyAlignment="1">
      <alignment horizontal="center" vertical="center" wrapText="1"/>
    </xf>
    <xf numFmtId="0" fontId="29" fillId="0" borderId="0" xfId="0" applyFont="1" applyAlignment="1">
      <alignment horizontal="left" vertical="center" wrapText="1"/>
    </xf>
    <xf numFmtId="0" fontId="26" fillId="5" borderId="0" xfId="0" applyFont="1" applyFill="1" applyAlignment="1">
      <alignment horizontal="left" vertical="center" wrapText="1"/>
    </xf>
    <xf numFmtId="0" fontId="26" fillId="5" borderId="0" xfId="0" applyFont="1" applyFill="1" applyAlignment="1">
      <alignment horizontal="left" vertical="center"/>
    </xf>
    <xf numFmtId="0" fontId="4" fillId="6" borderId="0" xfId="0" applyFont="1" applyFill="1" applyAlignment="1">
      <alignment horizontal="left" vertical="center" wrapText="1"/>
    </xf>
    <xf numFmtId="0" fontId="4" fillId="0" borderId="0" xfId="0" applyFont="1" applyAlignment="1">
      <alignment horizontal="left" vertical="center"/>
    </xf>
    <xf numFmtId="0" fontId="4" fillId="0" borderId="0" xfId="0" applyFont="1" applyAlignment="1">
      <alignment horizontal="left" vertical="center" wrapText="1"/>
    </xf>
    <xf numFmtId="0" fontId="10" fillId="0" borderId="0" xfId="0" applyFont="1" applyAlignment="1">
      <alignment horizontal="left" vertical="center" wrapText="1"/>
    </xf>
    <xf numFmtId="0" fontId="4" fillId="2" borderId="1" xfId="0" applyFont="1" applyFill="1" applyBorder="1" applyAlignment="1">
      <alignment horizontal="left" vertical="center" wrapText="1"/>
    </xf>
    <xf numFmtId="0" fontId="4" fillId="5" borderId="0" xfId="0" applyFont="1" applyFill="1" applyAlignment="1">
      <alignment horizontal="left" vertical="center"/>
    </xf>
    <xf numFmtId="0" fontId="4" fillId="5" borderId="0" xfId="0" applyFont="1" applyFill="1" applyAlignment="1">
      <alignment horizontal="left" vertical="center" wrapText="1"/>
    </xf>
    <xf numFmtId="0" fontId="4" fillId="2" borderId="1" xfId="0" applyFont="1" applyFill="1" applyBorder="1" applyAlignment="1">
      <alignment horizontal="center" vertical="center"/>
    </xf>
    <xf numFmtId="0" fontId="30" fillId="0" borderId="0" xfId="0" applyFont="1" applyAlignment="1">
      <alignment horizontal="left" wrapText="1"/>
    </xf>
    <xf numFmtId="0" fontId="4" fillId="10" borderId="0" xfId="0" applyFont="1" applyFill="1" applyAlignment="1">
      <alignment horizontal="center" vertical="center" wrapText="1"/>
    </xf>
    <xf numFmtId="0" fontId="4" fillId="10" borderId="0" xfId="0" applyFont="1" applyFill="1" applyAlignment="1">
      <alignment horizontal="left" vertical="center" wrapText="1"/>
    </xf>
    <xf numFmtId="0" fontId="10" fillId="0" borderId="0" xfId="0" applyFont="1" applyAlignment="1">
      <alignment horizontal="left" vertical="center"/>
    </xf>
    <xf numFmtId="0" fontId="4" fillId="8" borderId="1" xfId="0" applyFont="1" applyFill="1" applyBorder="1" applyAlignment="1">
      <alignment horizontal="center" vertical="center"/>
    </xf>
    <xf numFmtId="0" fontId="4" fillId="12" borderId="1" xfId="0" applyFont="1" applyFill="1" applyBorder="1" applyAlignment="1">
      <alignment horizontal="center" vertical="center"/>
    </xf>
    <xf numFmtId="0" fontId="4" fillId="2" borderId="1" xfId="0" applyFont="1" applyFill="1" applyBorder="1" applyAlignment="1">
      <alignment horizontal="center" vertical="center" wrapText="1"/>
    </xf>
    <xf numFmtId="0" fontId="4" fillId="8" borderId="1" xfId="0" applyFont="1" applyFill="1" applyBorder="1" applyAlignment="1">
      <alignment horizontal="center" vertical="center" wrapText="1"/>
    </xf>
    <xf numFmtId="0" fontId="4" fillId="12" borderId="1" xfId="0" applyFont="1" applyFill="1" applyBorder="1" applyAlignment="1">
      <alignment horizontal="center" vertical="center" wrapText="1"/>
    </xf>
    <xf numFmtId="0" fontId="12" fillId="7" borderId="10" xfId="0" applyFont="1" applyFill="1" applyBorder="1" applyAlignment="1">
      <alignment horizontal="center" vertical="center" wrapText="1"/>
    </xf>
    <xf numFmtId="0" fontId="12" fillId="7" borderId="0" xfId="0" applyFont="1" applyFill="1" applyAlignment="1">
      <alignment horizontal="center" vertical="center" wrapText="1"/>
    </xf>
    <xf numFmtId="0" fontId="4" fillId="0" borderId="10" xfId="0" applyFont="1" applyBorder="1" applyAlignment="1">
      <alignment horizontal="center" vertical="center" wrapText="1"/>
    </xf>
    <xf numFmtId="0" fontId="4" fillId="7" borderId="0" xfId="0" applyFont="1" applyFill="1" applyAlignment="1">
      <alignment horizontal="left" vertical="center" wrapText="1"/>
    </xf>
    <xf numFmtId="0" fontId="4" fillId="7" borderId="0" xfId="0" applyFont="1" applyFill="1" applyAlignment="1">
      <alignment horizontal="left" vertical="center"/>
    </xf>
    <xf numFmtId="0" fontId="31" fillId="0" borderId="0" xfId="0" applyFont="1" applyAlignment="1">
      <alignment horizontal="left" vertical="center" wrapText="1"/>
    </xf>
    <xf numFmtId="0" fontId="31" fillId="0" borderId="0" xfId="0" applyFont="1" applyAlignment="1">
      <alignment horizontal="left" vertical="center"/>
    </xf>
    <xf numFmtId="0" fontId="28" fillId="5" borderId="0" xfId="0" applyFont="1" applyFill="1" applyAlignment="1">
      <alignment horizontal="left" vertical="center"/>
    </xf>
    <xf numFmtId="0" fontId="29" fillId="0" borderId="0" xfId="0" applyFont="1" applyAlignment="1">
      <alignment horizontal="left" vertical="center"/>
    </xf>
    <xf numFmtId="0" fontId="29" fillId="0" borderId="0" xfId="0" applyFont="1" applyAlignment="1">
      <alignment horizontal="left" wrapText="1"/>
    </xf>
    <xf numFmtId="0" fontId="29" fillId="0" borderId="0" xfId="0" applyFont="1" applyAlignment="1">
      <alignment horizontal="left"/>
    </xf>
    <xf numFmtId="0" fontId="31" fillId="0" borderId="0" xfId="0" applyFont="1" applyAlignment="1">
      <alignment horizontal="left" wrapText="1"/>
    </xf>
    <xf numFmtId="0" fontId="31" fillId="0" borderId="0" xfId="0" applyFont="1" applyAlignment="1">
      <alignment horizontal="left"/>
    </xf>
    <xf numFmtId="0" fontId="34" fillId="12" borderId="9" xfId="0" applyFont="1" applyFill="1" applyBorder="1" applyAlignment="1">
      <alignment vertical="center"/>
    </xf>
    <xf numFmtId="0" fontId="4" fillId="0" borderId="12" xfId="0" applyFont="1" applyBorder="1" applyAlignment="1">
      <alignment horizontal="center" vertical="center" wrapText="1"/>
    </xf>
    <xf numFmtId="14" fontId="4" fillId="0" borderId="13" xfId="0" applyNumberFormat="1" applyFont="1" applyBorder="1" applyAlignment="1">
      <alignment horizontal="center" vertical="center" wrapText="1"/>
    </xf>
    <xf numFmtId="0" fontId="4" fillId="5" borderId="12" xfId="0" applyFont="1" applyFill="1" applyBorder="1" applyAlignment="1">
      <alignment horizontal="center" vertical="center" wrapText="1"/>
    </xf>
    <xf numFmtId="0" fontId="4" fillId="5" borderId="13" xfId="0" applyFont="1" applyFill="1" applyBorder="1" applyAlignment="1">
      <alignment horizontal="center" vertical="center" wrapText="1"/>
    </xf>
    <xf numFmtId="167" fontId="4" fillId="0" borderId="9" xfId="0" applyNumberFormat="1" applyFont="1" applyBorder="1" applyAlignment="1">
      <alignment vertical="center"/>
    </xf>
    <xf numFmtId="0" fontId="36" fillId="2" borderId="10" xfId="0" applyFont="1" applyFill="1" applyBorder="1" applyAlignment="1">
      <alignment horizontal="center" vertical="center" wrapText="1"/>
    </xf>
    <xf numFmtId="0" fontId="34" fillId="0" borderId="0" xfId="0" applyFont="1" applyAlignment="1">
      <alignment vertical="center"/>
    </xf>
    <xf numFmtId="0" fontId="36" fillId="0" borderId="0" xfId="0" applyFont="1" applyAlignment="1">
      <alignment horizontal="center" vertical="center" wrapText="1"/>
    </xf>
    <xf numFmtId="0" fontId="12" fillId="0" borderId="0" xfId="0" applyFont="1" applyAlignment="1">
      <alignment horizontal="center" vertical="center" wrapText="1"/>
    </xf>
    <xf numFmtId="0" fontId="21" fillId="0" borderId="0" xfId="0" applyFont="1" applyAlignment="1">
      <alignment horizontal="center" vertical="center"/>
    </xf>
    <xf numFmtId="14" fontId="4" fillId="0" borderId="0" xfId="0" applyNumberFormat="1" applyFont="1" applyAlignment="1">
      <alignment horizontal="center" vertical="center"/>
    </xf>
    <xf numFmtId="0" fontId="4" fillId="4" borderId="0" xfId="0" applyFont="1" applyFill="1" applyAlignment="1">
      <alignment horizontal="left" vertical="center" wrapText="1"/>
    </xf>
    <xf numFmtId="0" fontId="4" fillId="4" borderId="0" xfId="0" applyFont="1" applyFill="1" applyAlignment="1">
      <alignment horizontal="center" vertical="center" wrapText="1"/>
    </xf>
    <xf numFmtId="0" fontId="37" fillId="0" borderId="0" xfId="0" applyFont="1" applyAlignment="1">
      <alignment horizontal="center" vertical="top"/>
    </xf>
    <xf numFmtId="14" fontId="4" fillId="0" borderId="7" xfId="0" applyNumberFormat="1" applyFont="1" applyBorder="1" applyAlignment="1">
      <alignment horizontal="center"/>
    </xf>
    <xf numFmtId="0" fontId="38" fillId="8" borderId="0" xfId="0" applyFont="1" applyFill="1" applyAlignment="1">
      <alignment vertical="center"/>
    </xf>
    <xf numFmtId="14" fontId="4" fillId="0" borderId="0" xfId="0" applyNumberFormat="1" applyFont="1" applyAlignment="1">
      <alignment horizontal="left"/>
    </xf>
    <xf numFmtId="167" fontId="4" fillId="8" borderId="7" xfId="0" applyNumberFormat="1" applyFont="1" applyFill="1" applyBorder="1" applyAlignment="1">
      <alignment horizontal="center"/>
    </xf>
    <xf numFmtId="0" fontId="39" fillId="0" borderId="0" xfId="0" applyFont="1"/>
    <xf numFmtId="167" fontId="4" fillId="0" borderId="16" xfId="0" applyNumberFormat="1" applyFont="1" applyBorder="1" applyAlignment="1">
      <alignment horizontal="center"/>
    </xf>
    <xf numFmtId="0" fontId="40" fillId="14" borderId="0" xfId="0" applyFont="1" applyFill="1" applyAlignment="1">
      <alignment vertical="center"/>
    </xf>
    <xf numFmtId="0" fontId="4" fillId="0" borderId="10" xfId="0" applyFont="1" applyBorder="1"/>
    <xf numFmtId="0" fontId="4" fillId="0" borderId="10" xfId="0" applyFont="1" applyBorder="1" applyAlignment="1">
      <alignment horizontal="center" vertical="center"/>
    </xf>
    <xf numFmtId="167" fontId="22" fillId="0" borderId="16" xfId="0" applyNumberFormat="1" applyFont="1" applyBorder="1" applyAlignment="1">
      <alignment horizontal="center"/>
    </xf>
    <xf numFmtId="10" fontId="4" fillId="0" borderId="10" xfId="0" applyNumberFormat="1" applyFont="1" applyBorder="1" applyAlignment="1">
      <alignment horizontal="center"/>
    </xf>
    <xf numFmtId="0" fontId="4" fillId="0" borderId="10" xfId="0" applyFont="1" applyBorder="1" applyAlignment="1">
      <alignment horizontal="center"/>
    </xf>
    <xf numFmtId="0" fontId="0" fillId="0" borderId="10" xfId="0" applyBorder="1" applyAlignment="1">
      <alignment horizontal="center"/>
    </xf>
    <xf numFmtId="0" fontId="0" fillId="0" borderId="12" xfId="0" applyBorder="1"/>
    <xf numFmtId="0" fontId="0" fillId="0" borderId="17" xfId="0" applyBorder="1"/>
    <xf numFmtId="0" fontId="0" fillId="0" borderId="13" xfId="0" applyBorder="1"/>
    <xf numFmtId="0" fontId="40" fillId="13" borderId="0" xfId="0" applyFont="1" applyFill="1" applyAlignment="1">
      <alignment vertical="center"/>
    </xf>
    <xf numFmtId="9" fontId="4" fillId="2" borderId="1" xfId="8" applyNumberFormat="1" applyFont="1" applyFill="1" applyBorder="1" applyAlignment="1">
      <alignment horizontal="center" vertical="center" wrapText="1"/>
    </xf>
    <xf numFmtId="167" fontId="4" fillId="2" borderId="0" xfId="0" applyNumberFormat="1" applyFont="1" applyFill="1" applyAlignment="1">
      <alignment horizontal="center" vertical="center" wrapText="1"/>
    </xf>
    <xf numFmtId="170" fontId="43" fillId="2" borderId="0" xfId="0" applyNumberFormat="1" applyFont="1" applyFill="1" applyAlignment="1">
      <alignment vertical="center" wrapText="1"/>
    </xf>
    <xf numFmtId="0" fontId="45" fillId="0" borderId="0" xfId="0" applyFont="1" applyAlignment="1">
      <alignment horizontal="left" vertical="center"/>
    </xf>
    <xf numFmtId="0" fontId="46" fillId="0" borderId="0" xfId="0" applyFont="1" applyAlignment="1">
      <alignment horizontal="right" vertical="center"/>
    </xf>
    <xf numFmtId="167" fontId="4" fillId="0" borderId="0" xfId="0" applyNumberFormat="1" applyFont="1" applyAlignment="1">
      <alignment horizontal="right" vertical="center" wrapText="1"/>
    </xf>
    <xf numFmtId="0" fontId="47" fillId="0" borderId="0" xfId="0" applyFont="1" applyAlignment="1">
      <alignment vertical="center"/>
    </xf>
    <xf numFmtId="167" fontId="47" fillId="0" borderId="0" xfId="0" applyNumberFormat="1" applyFont="1" applyAlignment="1">
      <alignment horizontal="center" vertical="center" wrapText="1"/>
    </xf>
    <xf numFmtId="167" fontId="47" fillId="0" borderId="0" xfId="0" applyNumberFormat="1" applyFont="1" applyAlignment="1">
      <alignment vertical="center"/>
    </xf>
    <xf numFmtId="0" fontId="33" fillId="15" borderId="0" xfId="0" applyFont="1" applyFill="1" applyAlignment="1">
      <alignment vertical="center"/>
    </xf>
    <xf numFmtId="0" fontId="33" fillId="15" borderId="0" xfId="0" applyFont="1" applyFill="1" applyAlignment="1">
      <alignment horizontal="left" vertical="center"/>
    </xf>
    <xf numFmtId="0" fontId="33" fillId="15" borderId="0" xfId="0" applyFont="1" applyFill="1" applyAlignment="1">
      <alignment horizontal="center" vertical="center" wrapText="1"/>
    </xf>
    <xf numFmtId="167" fontId="33" fillId="15" borderId="0" xfId="0" applyNumberFormat="1" applyFont="1" applyFill="1" applyAlignment="1">
      <alignment horizontal="center" vertical="center" wrapText="1"/>
    </xf>
    <xf numFmtId="167" fontId="33" fillId="15" borderId="0" xfId="0" applyNumberFormat="1" applyFont="1" applyFill="1" applyAlignment="1">
      <alignment vertical="center"/>
    </xf>
    <xf numFmtId="0" fontId="41" fillId="12" borderId="0" xfId="0" applyFont="1" applyFill="1" applyAlignment="1">
      <alignment horizontal="right" wrapText="1"/>
    </xf>
    <xf numFmtId="167" fontId="10" fillId="12" borderId="0" xfId="0" applyNumberFormat="1" applyFont="1" applyFill="1" applyAlignment="1">
      <alignment horizontal="left"/>
    </xf>
    <xf numFmtId="0" fontId="4" fillId="12" borderId="0" xfId="0" applyFont="1" applyFill="1" applyAlignment="1">
      <alignment horizontal="center" wrapText="1"/>
    </xf>
    <xf numFmtId="167" fontId="4" fillId="12" borderId="0" xfId="0" applyNumberFormat="1" applyFont="1" applyFill="1" applyAlignment="1">
      <alignment horizontal="center" wrapText="1"/>
    </xf>
    <xf numFmtId="167" fontId="4" fillId="12" borderId="0" xfId="0" applyNumberFormat="1" applyFont="1" applyFill="1"/>
    <xf numFmtId="0" fontId="4" fillId="12" borderId="0" xfId="0" applyFont="1" applyFill="1"/>
    <xf numFmtId="0" fontId="42" fillId="12" borderId="0" xfId="0" applyFont="1" applyFill="1" applyAlignment="1">
      <alignment vertical="top"/>
    </xf>
    <xf numFmtId="0" fontId="42" fillId="12" borderId="0" xfId="0" applyFont="1" applyFill="1" applyAlignment="1">
      <alignment horizontal="center" vertical="top" wrapText="1"/>
    </xf>
    <xf numFmtId="167" fontId="42" fillId="12" borderId="0" xfId="0" applyNumberFormat="1" applyFont="1" applyFill="1" applyAlignment="1">
      <alignment horizontal="center" vertical="top" wrapText="1"/>
    </xf>
    <xf numFmtId="167" fontId="42" fillId="12" borderId="0" xfId="0" applyNumberFormat="1" applyFont="1" applyFill="1" applyAlignment="1">
      <alignment vertical="top"/>
    </xf>
    <xf numFmtId="0" fontId="41" fillId="12" borderId="0" xfId="0" applyFont="1" applyFill="1" applyAlignment="1">
      <alignment horizontal="right" vertical="center" wrapText="1"/>
    </xf>
    <xf numFmtId="0" fontId="10" fillId="12" borderId="0" xfId="0" applyFont="1" applyFill="1" applyAlignment="1">
      <alignment horizontal="left" vertical="center"/>
    </xf>
    <xf numFmtId="0" fontId="4" fillId="12" borderId="0" xfId="0" applyFont="1" applyFill="1" applyAlignment="1">
      <alignment horizontal="center" vertical="center" wrapText="1"/>
    </xf>
    <xf numFmtId="167" fontId="4" fillId="12" borderId="0" xfId="0" applyNumberFormat="1" applyFont="1" applyFill="1" applyAlignment="1">
      <alignment horizontal="center" vertical="center" wrapText="1"/>
    </xf>
    <xf numFmtId="167" fontId="4" fillId="12" borderId="0" xfId="0" applyNumberFormat="1" applyFont="1" applyFill="1" applyAlignment="1">
      <alignment vertical="center"/>
    </xf>
    <xf numFmtId="0" fontId="4" fillId="12" borderId="0" xfId="0" applyFont="1" applyFill="1" applyAlignment="1">
      <alignment vertical="center"/>
    </xf>
    <xf numFmtId="0" fontId="49" fillId="0" borderId="0" xfId="0" applyFont="1" applyAlignment="1">
      <alignment vertical="center"/>
    </xf>
    <xf numFmtId="0" fontId="50" fillId="0" borderId="5" xfId="0" applyFont="1" applyBorder="1" applyAlignment="1">
      <alignment horizontal="right" vertical="center" wrapText="1"/>
    </xf>
    <xf numFmtId="0" fontId="51" fillId="0" borderId="0" xfId="0" applyFont="1" applyAlignment="1">
      <alignment vertical="center"/>
    </xf>
    <xf numFmtId="167" fontId="51" fillId="0" borderId="0" xfId="0" applyNumberFormat="1" applyFont="1" applyAlignment="1">
      <alignment horizontal="center" vertical="center" wrapText="1"/>
    </xf>
    <xf numFmtId="167" fontId="51" fillId="0" borderId="0" xfId="0" applyNumberFormat="1" applyFont="1" applyAlignment="1">
      <alignment vertical="center"/>
    </xf>
    <xf numFmtId="0" fontId="54" fillId="0" borderId="0" xfId="0" applyFont="1" applyAlignment="1">
      <alignment horizontal="left" vertical="top" wrapText="1"/>
    </xf>
    <xf numFmtId="0" fontId="27" fillId="6" borderId="0" xfId="0" applyFont="1" applyFill="1" applyAlignment="1">
      <alignment vertical="center"/>
    </xf>
    <xf numFmtId="0" fontId="27" fillId="6" borderId="0" xfId="0" applyFont="1" applyFill="1" applyAlignment="1">
      <alignment horizontal="left" vertical="center"/>
    </xf>
    <xf numFmtId="0" fontId="27" fillId="6" borderId="0" xfId="0" applyFont="1" applyFill="1" applyAlignment="1">
      <alignment horizontal="center" vertical="center" wrapText="1"/>
    </xf>
    <xf numFmtId="167" fontId="27" fillId="6" borderId="0" xfId="0" applyNumberFormat="1" applyFont="1" applyFill="1" applyAlignment="1">
      <alignment horizontal="center" vertical="center" wrapText="1"/>
    </xf>
    <xf numFmtId="167" fontId="27" fillId="6" borderId="0" xfId="0" applyNumberFormat="1" applyFont="1" applyFill="1" applyAlignment="1">
      <alignment vertical="center"/>
    </xf>
    <xf numFmtId="0" fontId="55" fillId="2" borderId="0" xfId="0" applyFont="1" applyFill="1"/>
    <xf numFmtId="0" fontId="4" fillId="2" borderId="0" xfId="0" applyFont="1" applyFill="1"/>
    <xf numFmtId="167" fontId="4" fillId="2" borderId="0" xfId="0" applyNumberFormat="1" applyFont="1" applyFill="1" applyAlignment="1">
      <alignment horizontal="center" wrapText="1"/>
    </xf>
    <xf numFmtId="167" fontId="4" fillId="2" borderId="0" xfId="0" applyNumberFormat="1" applyFont="1" applyFill="1"/>
    <xf numFmtId="0" fontId="4" fillId="2" borderId="0" xfId="0" applyFont="1" applyFill="1" applyAlignment="1">
      <alignment horizontal="center" vertical="center" wrapText="1"/>
    </xf>
    <xf numFmtId="0" fontId="4" fillId="2" borderId="0" xfId="0" applyFont="1" applyFill="1" applyAlignment="1">
      <alignment vertical="center"/>
    </xf>
    <xf numFmtId="167" fontId="4" fillId="2" borderId="0" xfId="0" applyNumberFormat="1" applyFont="1" applyFill="1" applyAlignment="1">
      <alignment vertical="center"/>
    </xf>
    <xf numFmtId="0" fontId="12" fillId="2" borderId="0" xfId="0" applyFont="1" applyFill="1" applyAlignment="1">
      <alignment vertical="center" wrapText="1"/>
    </xf>
    <xf numFmtId="171" fontId="4" fillId="16" borderId="10" xfId="8" applyNumberFormat="1" applyFont="1" applyFill="1" applyBorder="1" applyAlignment="1">
      <alignment horizontal="center" vertical="center" wrapText="1"/>
    </xf>
    <xf numFmtId="0" fontId="11" fillId="11" borderId="6" xfId="0" applyFont="1" applyFill="1" applyBorder="1" applyAlignment="1">
      <alignment horizontal="center" vertical="center" wrapText="1"/>
    </xf>
    <xf numFmtId="167" fontId="11" fillId="11" borderId="6" xfId="0" applyNumberFormat="1" applyFont="1" applyFill="1" applyBorder="1" applyAlignment="1">
      <alignment horizontal="center" vertical="center" wrapText="1"/>
    </xf>
    <xf numFmtId="9" fontId="4" fillId="0" borderId="7" xfId="0" applyNumberFormat="1" applyFont="1" applyBorder="1" applyAlignment="1">
      <alignment horizontal="center"/>
    </xf>
    <xf numFmtId="0" fontId="0" fillId="13" borderId="0" xfId="0" applyFill="1"/>
    <xf numFmtId="0" fontId="19" fillId="11" borderId="0" xfId="0" applyFont="1" applyFill="1" applyAlignment="1">
      <alignment horizontal="center" vertical="center"/>
    </xf>
    <xf numFmtId="0" fontId="0" fillId="9" borderId="0" xfId="0" applyFill="1"/>
    <xf numFmtId="0" fontId="58" fillId="9" borderId="0" xfId="0" applyFont="1" applyFill="1" applyAlignment="1">
      <alignment vertical="center"/>
    </xf>
    <xf numFmtId="0" fontId="60" fillId="0" borderId="0" xfId="14" applyFont="1" applyAlignment="1">
      <alignment horizontal="center" vertical="center" wrapText="1"/>
    </xf>
    <xf numFmtId="0" fontId="62" fillId="17" borderId="9" xfId="0" applyFont="1" applyFill="1" applyBorder="1" applyAlignment="1">
      <alignment horizontal="center" vertical="center"/>
    </xf>
    <xf numFmtId="0" fontId="50" fillId="17" borderId="9" xfId="0" applyFont="1" applyFill="1" applyBorder="1" applyAlignment="1">
      <alignment horizontal="center" vertical="center"/>
    </xf>
    <xf numFmtId="0" fontId="63" fillId="2" borderId="0" xfId="0" applyFont="1" applyFill="1" applyAlignment="1">
      <alignment horizontal="center" vertical="center"/>
    </xf>
    <xf numFmtId="0" fontId="10" fillId="10" borderId="0" xfId="0" applyFont="1" applyFill="1" applyAlignment="1">
      <alignment horizontal="left" vertical="center" wrapText="1"/>
    </xf>
    <xf numFmtId="0" fontId="66" fillId="0" borderId="0" xfId="0" applyFont="1" applyAlignment="1">
      <alignment vertical="center"/>
    </xf>
    <xf numFmtId="0" fontId="4" fillId="0" borderId="0" xfId="0" applyFont="1" applyAlignment="1" applyProtection="1">
      <alignment vertical="center"/>
      <protection locked="0"/>
    </xf>
    <xf numFmtId="0" fontId="33" fillId="0" borderId="0" xfId="14" applyFont="1" applyFill="1" applyAlignment="1" applyProtection="1">
      <alignment horizontal="center" vertical="center" wrapText="1"/>
      <protection locked="0"/>
    </xf>
    <xf numFmtId="0" fontId="4" fillId="0" borderId="8" xfId="0" applyFont="1" applyBorder="1" applyAlignment="1" applyProtection="1">
      <alignment vertical="center" wrapText="1"/>
      <protection locked="0"/>
    </xf>
    <xf numFmtId="0" fontId="4" fillId="0" borderId="0" xfId="0" applyFont="1" applyAlignment="1" applyProtection="1">
      <alignment vertical="center" wrapText="1"/>
      <protection locked="0"/>
    </xf>
    <xf numFmtId="167" fontId="4" fillId="0" borderId="0" xfId="0" applyNumberFormat="1" applyFont="1" applyAlignment="1" applyProtection="1">
      <alignment vertical="center" wrapText="1"/>
      <protection locked="0"/>
    </xf>
    <xf numFmtId="0" fontId="4" fillId="0" borderId="8" xfId="0" applyFont="1" applyBorder="1" applyAlignment="1" applyProtection="1">
      <alignment vertical="center"/>
      <protection locked="0"/>
    </xf>
    <xf numFmtId="167" fontId="4" fillId="0" borderId="8" xfId="0" applyNumberFormat="1" applyFont="1" applyBorder="1" applyAlignment="1" applyProtection="1">
      <alignment vertical="center" wrapText="1"/>
      <protection locked="0"/>
    </xf>
    <xf numFmtId="0" fontId="4" fillId="0" borderId="9" xfId="0" applyFont="1" applyBorder="1" applyAlignment="1" applyProtection="1">
      <alignment horizontal="center" vertical="center"/>
      <protection locked="0"/>
    </xf>
    <xf numFmtId="0" fontId="4" fillId="0" borderId="0" xfId="0" applyFont="1" applyAlignment="1">
      <alignment horizontal="center" vertical="top"/>
    </xf>
    <xf numFmtId="0" fontId="63" fillId="2" borderId="0" xfId="0" applyFont="1" applyFill="1" applyAlignment="1">
      <alignment horizontal="center" vertical="top"/>
    </xf>
    <xf numFmtId="0" fontId="4" fillId="0" borderId="0" xfId="0" applyFont="1" applyAlignment="1">
      <alignment vertical="top"/>
    </xf>
    <xf numFmtId="167" fontId="4" fillId="0" borderId="0" xfId="0" applyNumberFormat="1" applyFont="1" applyAlignment="1" applyProtection="1">
      <alignment horizontal="center" vertical="center"/>
      <protection locked="0"/>
    </xf>
    <xf numFmtId="9" fontId="4" fillId="0" borderId="0" xfId="8" applyNumberFormat="1" applyFont="1" applyAlignment="1" applyProtection="1">
      <alignment horizontal="center" vertical="center"/>
      <protection locked="0"/>
    </xf>
    <xf numFmtId="0" fontId="4" fillId="0" borderId="0" xfId="0" applyFont="1" applyAlignment="1" applyProtection="1">
      <alignment horizontal="center" vertical="center"/>
      <protection locked="0"/>
    </xf>
    <xf numFmtId="0" fontId="61" fillId="2" borderId="0" xfId="14" applyFont="1" applyFill="1" applyAlignment="1" applyProtection="1">
      <alignment horizontal="center" vertical="center"/>
      <protection locked="0"/>
    </xf>
    <xf numFmtId="14" fontId="4" fillId="0" borderId="9" xfId="0" applyNumberFormat="1" applyFont="1" applyBorder="1" applyAlignment="1" applyProtection="1">
      <alignment horizontal="center" vertical="center"/>
      <protection locked="0"/>
    </xf>
    <xf numFmtId="167" fontId="4" fillId="0" borderId="9" xfId="0" applyNumberFormat="1" applyFont="1" applyBorder="1" applyAlignment="1" applyProtection="1">
      <alignment vertical="center"/>
      <protection locked="0"/>
    </xf>
    <xf numFmtId="14" fontId="4" fillId="0" borderId="0" xfId="0" applyNumberFormat="1" applyFont="1" applyAlignment="1" applyProtection="1">
      <alignment horizontal="center" vertical="center"/>
      <protection locked="0"/>
    </xf>
    <xf numFmtId="0" fontId="35" fillId="12" borderId="11" xfId="0" applyFont="1" applyFill="1" applyBorder="1" applyAlignment="1" applyProtection="1">
      <alignment horizontal="center" vertical="center"/>
      <protection locked="0"/>
    </xf>
    <xf numFmtId="0" fontId="27" fillId="6" borderId="0" xfId="0" applyFont="1" applyFill="1" applyAlignment="1" applyProtection="1">
      <alignment horizontal="center" vertical="center" wrapText="1"/>
      <protection locked="0"/>
    </xf>
    <xf numFmtId="164" fontId="0" fillId="0" borderId="0" xfId="0" applyNumberFormat="1"/>
    <xf numFmtId="0" fontId="67" fillId="0" borderId="0" xfId="0" applyFont="1" applyAlignment="1">
      <alignment vertical="center"/>
    </xf>
    <xf numFmtId="167" fontId="19" fillId="11" borderId="0" xfId="0" applyNumberFormat="1" applyFont="1" applyFill="1" applyAlignment="1">
      <alignment vertical="center"/>
    </xf>
    <xf numFmtId="167" fontId="20" fillId="9" borderId="0" xfId="0" applyNumberFormat="1" applyFont="1" applyFill="1" applyAlignment="1">
      <alignment vertical="center"/>
    </xf>
    <xf numFmtId="167" fontId="0" fillId="0" borderId="0" xfId="0" applyNumberFormat="1"/>
    <xf numFmtId="0" fontId="41" fillId="10" borderId="0" xfId="0" applyFont="1" applyFill="1"/>
    <xf numFmtId="167" fontId="41" fillId="10" borderId="0" xfId="0" applyNumberFormat="1" applyFont="1" applyFill="1"/>
    <xf numFmtId="14" fontId="0" fillId="0" borderId="10" xfId="0" applyNumberFormat="1" applyBorder="1" applyAlignment="1">
      <alignment horizontal="center"/>
    </xf>
    <xf numFmtId="167" fontId="0" fillId="0" borderId="10" xfId="0" applyNumberFormat="1" applyBorder="1" applyAlignment="1">
      <alignment horizontal="center"/>
    </xf>
    <xf numFmtId="0" fontId="57" fillId="15" borderId="6" xfId="0" applyFont="1" applyFill="1" applyBorder="1" applyAlignment="1">
      <alignment horizontal="center" vertical="center"/>
    </xf>
    <xf numFmtId="167" fontId="0" fillId="0" borderId="6" xfId="0" applyNumberFormat="1" applyBorder="1" applyAlignment="1">
      <alignment horizontal="center" vertical="center"/>
    </xf>
    <xf numFmtId="167" fontId="0" fillId="0" borderId="0" xfId="0" applyNumberFormat="1" applyAlignment="1">
      <alignment horizontal="center" vertical="center"/>
    </xf>
    <xf numFmtId="0" fontId="0" fillId="0" borderId="0" xfId="0" applyAlignment="1">
      <alignment horizontal="center" vertical="center"/>
    </xf>
    <xf numFmtId="10" fontId="0" fillId="0" borderId="6" xfId="0" applyNumberFormat="1" applyBorder="1" applyAlignment="1">
      <alignment horizontal="center" vertical="center"/>
    </xf>
    <xf numFmtId="0" fontId="4" fillId="12" borderId="0" xfId="0" applyFont="1" applyFill="1" applyAlignment="1">
      <alignment horizontal="right" vertical="center" wrapText="1"/>
    </xf>
    <xf numFmtId="0" fontId="10" fillId="12" borderId="0" xfId="0" applyFont="1" applyFill="1" applyAlignment="1">
      <alignment horizontal="left"/>
    </xf>
    <xf numFmtId="169" fontId="4" fillId="0" borderId="0" xfId="0" applyNumberFormat="1" applyFont="1" applyAlignment="1" applyProtection="1">
      <alignment horizontal="center" vertical="center"/>
      <protection locked="0"/>
    </xf>
    <xf numFmtId="167" fontId="4" fillId="0" borderId="0" xfId="13" applyNumberFormat="1" applyFont="1" applyBorder="1" applyAlignment="1" applyProtection="1">
      <alignment horizontal="center" vertical="center"/>
      <protection locked="0"/>
    </xf>
    <xf numFmtId="167" fontId="4" fillId="0" borderId="9" xfId="0" applyNumberFormat="1" applyFont="1" applyBorder="1" applyAlignment="1" applyProtection="1">
      <alignment horizontal="center" vertical="center"/>
      <protection locked="0"/>
    </xf>
    <xf numFmtId="0" fontId="4" fillId="2" borderId="0" xfId="0" applyFont="1" applyFill="1" applyAlignment="1" applyProtection="1">
      <alignment horizontal="center" vertical="center"/>
      <protection locked="0"/>
    </xf>
    <xf numFmtId="0" fontId="55" fillId="2" borderId="0" xfId="0" applyFont="1" applyFill="1" applyAlignment="1">
      <alignment horizontal="left" vertical="center"/>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167" fontId="4" fillId="0" borderId="21" xfId="0" applyNumberFormat="1" applyFont="1" applyBorder="1" applyAlignment="1">
      <alignment horizontal="center" vertical="center" wrapText="1"/>
    </xf>
    <xf numFmtId="167" fontId="4" fillId="0" borderId="22" xfId="0" applyNumberFormat="1" applyFont="1" applyBorder="1" applyAlignment="1">
      <alignment horizontal="center" vertical="center" wrapText="1"/>
    </xf>
    <xf numFmtId="0" fontId="21" fillId="12" borderId="24" xfId="0" applyFont="1" applyFill="1" applyBorder="1" applyAlignment="1">
      <alignment horizontal="center" vertical="center" wrapText="1"/>
    </xf>
    <xf numFmtId="167" fontId="4" fillId="0" borderId="25" xfId="0" applyNumberFormat="1" applyFont="1" applyBorder="1" applyAlignment="1">
      <alignment horizontal="center" vertical="center" wrapText="1"/>
    </xf>
    <xf numFmtId="14" fontId="21" fillId="12" borderId="24" xfId="0" applyNumberFormat="1" applyFont="1" applyFill="1" applyBorder="1" applyAlignment="1">
      <alignment horizontal="center" vertical="center" wrapText="1"/>
    </xf>
    <xf numFmtId="0" fontId="50" fillId="0" borderId="26" xfId="0" applyFont="1" applyBorder="1" applyAlignment="1">
      <alignment horizontal="right" vertical="center" wrapText="1"/>
    </xf>
    <xf numFmtId="0" fontId="50" fillId="0" borderId="0" xfId="0" applyFont="1" applyAlignment="1">
      <alignment horizontal="right" vertical="center" wrapText="1"/>
    </xf>
    <xf numFmtId="0" fontId="4" fillId="0" borderId="27" xfId="0" applyFont="1" applyBorder="1" applyAlignment="1">
      <alignment horizontal="center" vertical="center" wrapText="1"/>
    </xf>
    <xf numFmtId="0" fontId="4" fillId="0" borderId="28" xfId="0" applyFont="1" applyBorder="1" applyAlignment="1">
      <alignment horizontal="center" vertical="center" wrapText="1"/>
    </xf>
    <xf numFmtId="0" fontId="44" fillId="0" borderId="28" xfId="0" applyFont="1" applyBorder="1" applyAlignment="1">
      <alignment horizontal="center" vertical="center" wrapText="1"/>
    </xf>
    <xf numFmtId="167" fontId="4" fillId="0" borderId="28" xfId="0" applyNumberFormat="1" applyFont="1" applyBorder="1" applyAlignment="1">
      <alignment horizontal="center" vertical="center" wrapText="1"/>
    </xf>
    <xf numFmtId="167" fontId="4" fillId="0" borderId="29" xfId="0" applyNumberFormat="1" applyFont="1" applyBorder="1" applyAlignment="1">
      <alignment horizontal="center" vertical="center" wrapText="1"/>
    </xf>
    <xf numFmtId="171" fontId="4" fillId="16" borderId="30" xfId="8" applyNumberFormat="1" applyFont="1" applyFill="1" applyBorder="1" applyAlignment="1">
      <alignment horizontal="center" vertical="center" wrapText="1"/>
    </xf>
    <xf numFmtId="171" fontId="4" fillId="12" borderId="0" xfId="8" applyNumberFormat="1" applyFont="1" applyFill="1" applyBorder="1" applyAlignment="1">
      <alignment horizontal="center" vertical="center"/>
    </xf>
    <xf numFmtId="10" fontId="4" fillId="12" borderId="0" xfId="0" applyNumberFormat="1" applyFont="1" applyFill="1" applyAlignment="1">
      <alignment horizontal="center" vertical="center"/>
    </xf>
    <xf numFmtId="0" fontId="20" fillId="9" borderId="0" xfId="0" applyFont="1" applyFill="1" applyAlignment="1">
      <alignment horizontal="center" vertical="center"/>
    </xf>
    <xf numFmtId="0" fontId="59" fillId="9" borderId="0" xfId="14" applyFont="1" applyFill="1" applyAlignment="1">
      <alignment horizontal="center" vertical="center" wrapText="1"/>
    </xf>
    <xf numFmtId="0" fontId="11" fillId="11" borderId="0" xfId="0" applyFont="1" applyFill="1" applyAlignment="1">
      <alignment horizontal="center" vertical="center"/>
    </xf>
    <xf numFmtId="0" fontId="4" fillId="0" borderId="9" xfId="0" applyFont="1" applyBorder="1" applyAlignment="1" applyProtection="1">
      <alignment horizontal="center" vertical="center"/>
      <protection locked="0"/>
    </xf>
    <xf numFmtId="0" fontId="62" fillId="0" borderId="0" xfId="0" applyFont="1" applyAlignment="1">
      <alignment horizontal="left" vertical="center" wrapText="1"/>
    </xf>
    <xf numFmtId="0" fontId="11" fillId="11" borderId="0" xfId="0" applyFont="1" applyFill="1" applyAlignment="1">
      <alignment horizontal="center" vertical="center" wrapText="1"/>
    </xf>
    <xf numFmtId="0" fontId="12" fillId="0" borderId="0" xfId="0" applyFont="1" applyAlignment="1">
      <alignment horizontal="center" vertical="center" wrapText="1"/>
    </xf>
    <xf numFmtId="14" fontId="4" fillId="0" borderId="0" xfId="0" applyNumberFormat="1" applyFont="1" applyAlignment="1" applyProtection="1">
      <alignment horizontal="center" vertical="center"/>
      <protection locked="0"/>
    </xf>
    <xf numFmtId="0" fontId="62" fillId="0" borderId="5" xfId="0" applyFont="1" applyBorder="1" applyAlignment="1">
      <alignment horizontal="right" vertical="center" wrapText="1"/>
    </xf>
    <xf numFmtId="170" fontId="62" fillId="12" borderId="18" xfId="0" applyNumberFormat="1" applyFont="1" applyFill="1" applyBorder="1" applyAlignment="1">
      <alignment horizontal="center" vertical="center" wrapText="1"/>
    </xf>
    <xf numFmtId="170" fontId="62" fillId="12" borderId="19" xfId="0" applyNumberFormat="1" applyFont="1" applyFill="1" applyBorder="1" applyAlignment="1">
      <alignment horizontal="center" vertical="center" wrapText="1"/>
    </xf>
    <xf numFmtId="0" fontId="4" fillId="2" borderId="0" xfId="0" applyFont="1" applyFill="1" applyAlignment="1">
      <alignment horizontal="left" vertical="center" wrapText="1"/>
    </xf>
    <xf numFmtId="0" fontId="4" fillId="16" borderId="30" xfId="0" applyFont="1" applyFill="1" applyBorder="1" applyAlignment="1">
      <alignment horizontal="left" vertical="center"/>
    </xf>
    <xf numFmtId="167" fontId="4" fillId="16" borderId="30" xfId="0" applyNumberFormat="1" applyFont="1" applyFill="1" applyBorder="1" applyAlignment="1">
      <alignment horizontal="left" vertical="center" wrapText="1"/>
    </xf>
    <xf numFmtId="167" fontId="4" fillId="2" borderId="0" xfId="0" applyNumberFormat="1" applyFont="1" applyFill="1" applyAlignment="1">
      <alignment horizontal="left" vertical="center" wrapText="1"/>
    </xf>
    <xf numFmtId="0" fontId="56" fillId="10" borderId="0" xfId="0" applyFont="1" applyFill="1" applyAlignment="1">
      <alignment horizontal="center" vertical="center" wrapText="1"/>
    </xf>
    <xf numFmtId="170" fontId="56" fillId="10" borderId="0" xfId="0" applyNumberFormat="1" applyFont="1" applyFill="1" applyAlignment="1">
      <alignment horizontal="center" vertical="center" wrapText="1"/>
    </xf>
    <xf numFmtId="170" fontId="65" fillId="2" borderId="0" xfId="0" applyNumberFormat="1" applyFont="1" applyFill="1" applyAlignment="1">
      <alignment horizontal="center" wrapText="1"/>
    </xf>
    <xf numFmtId="169" fontId="65" fillId="2" borderId="0" xfId="0" applyNumberFormat="1" applyFont="1" applyFill="1" applyAlignment="1">
      <alignment horizontal="center" wrapText="1"/>
    </xf>
    <xf numFmtId="14" fontId="55" fillId="2" borderId="0" xfId="0" applyNumberFormat="1" applyFont="1" applyFill="1" applyAlignment="1" applyProtection="1">
      <alignment horizontal="center" wrapText="1"/>
      <protection locked="0"/>
    </xf>
    <xf numFmtId="0" fontId="10" fillId="2" borderId="0" xfId="0" applyFont="1" applyFill="1" applyAlignment="1">
      <alignment horizontal="left"/>
    </xf>
    <xf numFmtId="0" fontId="4" fillId="0" borderId="0" xfId="0" applyFont="1" applyAlignment="1">
      <alignment vertical="center"/>
    </xf>
    <xf numFmtId="0" fontId="13" fillId="12" borderId="0" xfId="0" applyFont="1" applyFill="1" applyAlignment="1">
      <alignment horizontal="center" vertical="center" wrapText="1"/>
    </xf>
    <xf numFmtId="0" fontId="52" fillId="0" borderId="5" xfId="0" applyFont="1" applyBorder="1" applyAlignment="1">
      <alignment horizontal="right" vertical="center" wrapText="1"/>
    </xf>
    <xf numFmtId="0" fontId="50" fillId="0" borderId="5" xfId="0" applyFont="1" applyBorder="1" applyAlignment="1">
      <alignment horizontal="right" vertical="center" wrapText="1"/>
    </xf>
    <xf numFmtId="0" fontId="50" fillId="0" borderId="23" xfId="0" applyFont="1" applyBorder="1" applyAlignment="1">
      <alignment horizontal="right" vertical="center" wrapText="1"/>
    </xf>
    <xf numFmtId="0" fontId="50" fillId="0" borderId="19" xfId="0" applyFont="1" applyBorder="1" applyAlignment="1">
      <alignment horizontal="right" vertical="center" wrapText="1"/>
    </xf>
    <xf numFmtId="10" fontId="50" fillId="12" borderId="18" xfId="8" applyFont="1" applyFill="1" applyBorder="1" applyAlignment="1">
      <alignment horizontal="center" vertical="center" wrapText="1"/>
    </xf>
    <xf numFmtId="10" fontId="50" fillId="12" borderId="19" xfId="8" applyFont="1" applyFill="1" applyBorder="1" applyAlignment="1">
      <alignment horizontal="center" vertical="center" wrapText="1"/>
    </xf>
    <xf numFmtId="170" fontId="53" fillId="12" borderId="18" xfId="0" applyNumberFormat="1" applyFont="1" applyFill="1" applyBorder="1" applyAlignment="1">
      <alignment horizontal="center" vertical="center" shrinkToFit="1"/>
    </xf>
    <xf numFmtId="170" fontId="53" fillId="12" borderId="19" xfId="0" applyNumberFormat="1" applyFont="1" applyFill="1" applyBorder="1" applyAlignment="1">
      <alignment horizontal="center" vertical="center" shrinkToFit="1"/>
    </xf>
    <xf numFmtId="0" fontId="68" fillId="0" borderId="0" xfId="0" applyFont="1" applyAlignment="1">
      <alignment horizontal="center"/>
    </xf>
    <xf numFmtId="170" fontId="48" fillId="2" borderId="0" xfId="0" applyNumberFormat="1" applyFont="1" applyFill="1" applyAlignment="1" applyProtection="1">
      <alignment horizontal="center" vertical="center"/>
      <protection locked="0"/>
    </xf>
    <xf numFmtId="0" fontId="64" fillId="2" borderId="0" xfId="0" applyFont="1" applyFill="1" applyAlignment="1" applyProtection="1">
      <alignment horizontal="center" vertical="center"/>
      <protection locked="0"/>
    </xf>
    <xf numFmtId="0" fontId="54" fillId="0" borderId="0" xfId="0" applyFont="1" applyAlignment="1">
      <alignment horizontal="left" vertical="top" wrapText="1"/>
    </xf>
    <xf numFmtId="170" fontId="50" fillId="12" borderId="18" xfId="0" applyNumberFormat="1" applyFont="1" applyFill="1" applyBorder="1" applyAlignment="1">
      <alignment horizontal="center" vertical="center" wrapText="1"/>
    </xf>
    <xf numFmtId="170" fontId="50" fillId="12" borderId="19" xfId="0" applyNumberFormat="1" applyFont="1" applyFill="1" applyBorder="1" applyAlignment="1">
      <alignment horizontal="center" vertical="center" wrapText="1"/>
    </xf>
    <xf numFmtId="167" fontId="4" fillId="12" borderId="0" xfId="0" applyNumberFormat="1" applyFont="1" applyFill="1" applyAlignment="1">
      <alignment horizontal="center" vertical="center" shrinkToFit="1"/>
    </xf>
    <xf numFmtId="170" fontId="4" fillId="12" borderId="0" xfId="0" applyNumberFormat="1" applyFont="1" applyFill="1" applyAlignment="1">
      <alignment horizontal="center" vertical="center" shrinkToFit="1"/>
    </xf>
    <xf numFmtId="0" fontId="4" fillId="12" borderId="0" xfId="0" applyFont="1" applyFill="1" applyAlignment="1">
      <alignment horizontal="center" vertical="center" wrapText="1"/>
    </xf>
    <xf numFmtId="0" fontId="12" fillId="7" borderId="14" xfId="0" applyFont="1" applyFill="1" applyBorder="1" applyAlignment="1">
      <alignment horizontal="center" vertical="center" wrapText="1"/>
    </xf>
    <xf numFmtId="0" fontId="4" fillId="0" borderId="15" xfId="0" applyFont="1" applyBorder="1" applyAlignment="1">
      <alignment horizontal="center"/>
    </xf>
    <xf numFmtId="167" fontId="4" fillId="0" borderId="10" xfId="0" applyNumberFormat="1" applyFont="1" applyBorder="1" applyAlignment="1">
      <alignment horizontal="center"/>
    </xf>
  </cellXfs>
  <cellStyles count="15">
    <cellStyle name="Amount" xfId="6" xr:uid="{16923296-22F1-4312-9EC8-323964D33B29}"/>
    <cellStyle name="Currency" xfId="13" builtinId="4"/>
    <cellStyle name="Date" xfId="10" xr:uid="{4F3B10DC-AB38-44D7-BE43-BFBD19C501F8}"/>
    <cellStyle name="Explanatory Text 2" xfId="5" xr:uid="{B83CBAE9-B165-411E-9F9F-ADCD57F7FF03}"/>
    <cellStyle name="Heading 2 2" xfId="4" xr:uid="{DCE67F3B-1838-4235-8CA3-5BF7766921FA}"/>
    <cellStyle name="Heading 3 2" xfId="11" xr:uid="{8BD1E398-C700-463B-B67B-36880771F6DA}"/>
    <cellStyle name="Heading 4 Right aligned" xfId="2" xr:uid="{B0E1C56D-196A-4DF2-9C0E-268060844FBE}"/>
    <cellStyle name="Hyperlink" xfId="14" builtinId="8"/>
    <cellStyle name="Loan Summary" xfId="7" xr:uid="{758E86E6-B429-4423-A95C-F842BB434BA4}"/>
    <cellStyle name="Normal" xfId="0" builtinId="0"/>
    <cellStyle name="Normal 2" xfId="3" xr:uid="{8C437A2D-83FA-420A-A18A-3880659D092D}"/>
    <cellStyle name="Number" xfId="9" xr:uid="{787824A1-92C6-4057-BF3A-E1F84DE221F5}"/>
    <cellStyle name="Percent" xfId="8" builtinId="5"/>
    <cellStyle name="Style 6" xfId="1" xr:uid="{CCE468CE-9709-4DFF-8FAB-F2234FC36A7D}"/>
    <cellStyle name="Table Amount" xfId="12" xr:uid="{8934EF41-DFFE-46D1-9D87-FB38DC57CE2F}"/>
  </cellStyles>
  <dxfs count="54">
    <dxf>
      <border>
        <left style="thin">
          <color theme="5"/>
        </left>
        <right style="thin">
          <color theme="5"/>
        </right>
        <top style="thin">
          <color theme="5"/>
        </top>
        <bottom style="thin">
          <color theme="5"/>
        </bottom>
        <vertical/>
        <horizontal/>
      </border>
    </dxf>
    <dxf>
      <font>
        <color theme="8" tint="-0.24994659260841701"/>
      </font>
      <fill>
        <patternFill>
          <bgColor theme="8" tint="0.79998168889431442"/>
        </patternFill>
      </fill>
      <border>
        <left style="thin">
          <color theme="0" tint="-0.24994659260841701"/>
        </left>
        <right style="thin">
          <color theme="0" tint="-0.24994659260841701"/>
        </right>
        <top style="thin">
          <color theme="0" tint="-0.24994659260841701"/>
        </top>
        <bottom style="thin">
          <color theme="0" tint="-0.24994659260841701"/>
        </bottom>
      </border>
    </dxf>
    <dxf>
      <font>
        <color theme="0" tint="-0.34998626667073579"/>
      </font>
      <fill>
        <patternFill>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none">
          <bgColor auto="1"/>
        </patternFill>
      </fill>
      <border>
        <left/>
        <right/>
        <top/>
        <bottom/>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0"/>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border>
        <left style="hair">
          <color theme="0" tint="-0.24994659260841701"/>
        </left>
        <right style="hair">
          <color theme="0" tint="-0.24994659260841701"/>
        </right>
        <top style="hair">
          <color theme="0" tint="-0.24994659260841701"/>
        </top>
        <bottom style="hair">
          <color theme="0" tint="-0.24994659260841701"/>
        </bottom>
        <vertical/>
        <horizontal/>
      </border>
    </dxf>
    <dxf>
      <font>
        <color theme="0" tint="-0.34998626667073579"/>
      </font>
      <fill>
        <patternFill>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border>
        <left style="hair">
          <color theme="0" tint="-0.24994659260841701"/>
        </left>
        <right style="hair">
          <color theme="0" tint="-0.24994659260841701"/>
        </right>
        <top style="hair">
          <color theme="0" tint="-0.24994659260841701"/>
        </top>
        <bottom style="hair">
          <color theme="0" tint="-0.24994659260841701"/>
        </bottom>
        <vertical/>
        <horizontal/>
      </border>
    </dxf>
    <dxf>
      <font>
        <color theme="0" tint="-0.34998626667073579"/>
      </font>
      <fill>
        <patternFill>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theme="0"/>
        </patternFill>
      </fill>
      <border>
        <left style="hair">
          <color theme="5" tint="-0.24994659260841701"/>
        </left>
        <right style="hair">
          <color theme="5" tint="-0.24994659260841701"/>
        </right>
        <top style="hair">
          <color theme="5" tint="-0.24994659260841701"/>
        </top>
        <bottom style="hair">
          <color theme="5" tint="-0.24994659260841701"/>
        </bottom>
        <vertical/>
        <horizontal/>
      </border>
    </dxf>
    <dxf>
      <border>
        <bottom style="thin">
          <color theme="5" tint="-0.24994659260841701"/>
        </bottom>
        <vertical/>
        <horizontal/>
      </border>
    </dxf>
    <dxf>
      <border>
        <bottom style="thin">
          <color theme="5" tint="-0.24994659260841701"/>
        </bottom>
        <vertical/>
        <horizontal/>
      </border>
    </dxf>
    <dxf>
      <border>
        <bottom style="thin">
          <color theme="5" tint="-0.24994659260841701"/>
        </bottom>
        <vertical/>
        <horizontal/>
      </border>
    </dxf>
    <dxf>
      <border>
        <left style="hair">
          <color theme="0" tint="-0.24994659260841701"/>
        </left>
        <right style="hair">
          <color theme="0" tint="-0.24994659260841701"/>
        </right>
        <top style="hair">
          <color theme="0" tint="-0.24994659260841701"/>
        </top>
        <bottom style="hair">
          <color theme="0" tint="-0.24994659260841701"/>
        </bottom>
        <vertical/>
        <horizontal/>
      </border>
    </dxf>
    <dxf>
      <font>
        <color theme="0" tint="-0.34998626667073579"/>
      </font>
      <fill>
        <patternFill>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border>
        <left style="hair">
          <color theme="0" tint="-0.24994659260841701"/>
        </left>
        <right style="hair">
          <color theme="0" tint="-0.24994659260841701"/>
        </right>
        <top style="hair">
          <color theme="0" tint="-0.24994659260841701"/>
        </top>
        <bottom style="hair">
          <color theme="0" tint="-0.24994659260841701"/>
        </bottom>
        <vertical/>
        <horizontal/>
      </border>
    </dxf>
    <dxf>
      <font>
        <color theme="0" tint="-0.34998626667073579"/>
      </font>
      <fill>
        <patternFill>
          <bgColor theme="0" tint="-4.9989318521683403E-2"/>
        </patternFill>
      </fill>
      <border>
        <left style="hair">
          <color theme="0" tint="-0.24994659260841701"/>
        </left>
        <right style="hair">
          <color theme="0" tint="-0.24994659260841701"/>
        </right>
        <top style="hair">
          <color theme="0" tint="-0.24994659260841701"/>
        </top>
        <bottom style="hair">
          <color theme="0" tint="-0.24994659260841701"/>
        </bottom>
        <vertical/>
        <horizontal/>
      </border>
    </dxf>
    <dxf>
      <font>
        <b val="0"/>
        <i val="0"/>
        <color theme="0"/>
      </font>
      <fill>
        <patternFill>
          <bgColor theme="5"/>
        </patternFill>
      </fill>
    </dxf>
    <dxf>
      <border>
        <bottom style="thin">
          <color theme="5" tint="-0.499984740745262"/>
        </bottom>
        <vertical/>
        <horizontal/>
      </border>
    </dxf>
    <dxf>
      <border>
        <bottom style="thin">
          <color theme="5" tint="-0.499984740745262"/>
        </bottom>
        <vertical/>
        <horizontal/>
      </border>
    </dxf>
    <dxf>
      <font>
        <color theme="5" tint="-0.499984740745262"/>
      </font>
      <fill>
        <patternFill>
          <bgColor theme="5" tint="0.79998168889431442"/>
        </patternFill>
      </fill>
    </dxf>
    <dxf>
      <font>
        <b/>
        <i val="0"/>
        <color theme="0"/>
      </font>
      <fill>
        <patternFill>
          <bgColor theme="5" tint="-0.499984740745262"/>
        </patternFill>
      </fill>
    </dxf>
    <dxf>
      <font>
        <b/>
        <i val="0"/>
        <color theme="0"/>
      </font>
      <fill>
        <patternFill>
          <bgColor theme="5" tint="-0.499984740745262"/>
        </patternFill>
      </fill>
    </dxf>
    <dxf>
      <border>
        <bottom style="thin">
          <color theme="5" tint="-0.499984740745262"/>
        </bottom>
        <vertical/>
        <horizontal/>
      </border>
    </dxf>
    <dxf>
      <border>
        <bottom style="thin">
          <color theme="5" tint="-0.499984740745262"/>
        </bottom>
        <vertical/>
        <horizontal/>
      </border>
    </dxf>
    <dxf>
      <border>
        <bottom style="thin">
          <color theme="5" tint="-0.499984740745262"/>
        </bottom>
        <vertical/>
        <horizontal/>
      </border>
    </dxf>
    <dxf>
      <border>
        <bottom style="thin">
          <color theme="5" tint="-0.499984740745262"/>
        </bottom>
        <vertical/>
        <horizontal/>
      </border>
    </dxf>
    <dxf>
      <border>
        <bottom style="thin">
          <color theme="5" tint="-0.499984740745262"/>
        </bottom>
        <vertical/>
        <horizontal/>
      </border>
    </dxf>
    <dxf>
      <font>
        <b/>
        <i val="0"/>
        <color theme="0"/>
      </font>
      <fill>
        <patternFill>
          <bgColor theme="5" tint="-0.499984740745262"/>
        </patternFill>
      </fill>
    </dxf>
    <dxf>
      <fill>
        <patternFill>
          <bgColor theme="5" tint="0.79998168889431442"/>
        </patternFill>
      </fill>
      <border>
        <bottom style="thin">
          <color theme="5" tint="-0.499984740745262"/>
        </bottom>
        <vertical/>
        <horizontal/>
      </border>
    </dxf>
    <dxf>
      <border>
        <bottom style="thin">
          <color theme="5" tint="-0.499984740745262"/>
        </bottom>
        <vertical/>
        <horizontal/>
      </border>
    </dxf>
    <dxf>
      <font>
        <b val="0"/>
        <i val="0"/>
        <color theme="0"/>
      </font>
      <fill>
        <patternFill>
          <bgColor theme="5"/>
        </patternFill>
      </fill>
    </dxf>
    <dxf>
      <fill>
        <patternFill>
          <bgColor theme="0" tint="-4.9989318521683403E-2"/>
        </patternFill>
      </fill>
      <border>
        <left style="thin">
          <color theme="5" tint="-0.499984740745262"/>
        </left>
        <right style="thin">
          <color theme="5" tint="-0.499984740745262"/>
        </right>
        <top style="thin">
          <color theme="5" tint="-0.499984740745262"/>
        </top>
        <bottom style="thin">
          <color theme="5" tint="-0.499984740745262"/>
        </bottom>
        <vertical/>
        <horizontal/>
      </border>
    </dxf>
    <dxf>
      <fill>
        <patternFill>
          <bgColor theme="5" tint="0.79998168889431442"/>
        </patternFill>
      </fill>
    </dxf>
    <dxf>
      <fill>
        <patternFill>
          <bgColor theme="5" tint="0.79998168889431442"/>
        </patternFill>
      </fill>
    </dxf>
    <dxf>
      <border>
        <bottom style="thin">
          <color theme="5" tint="-0.499984740745262"/>
        </bottom>
        <vertical/>
        <horizontal/>
      </border>
    </dxf>
    <dxf>
      <border>
        <bottom style="thin">
          <color theme="5" tint="-0.499984740745262"/>
        </bottom>
        <vertical/>
        <horizontal/>
      </border>
    </dxf>
    <dxf>
      <border>
        <bottom style="thin">
          <color theme="5" tint="-0.499984740745262"/>
        </bottom>
        <vertical/>
        <horizontal/>
      </border>
    </dxf>
    <dxf>
      <border>
        <bottom style="thin">
          <color theme="5" tint="-0.499984740745262"/>
        </bottom>
        <vertical/>
        <horizontal/>
      </border>
    </dxf>
    <dxf>
      <font>
        <b/>
        <i val="0"/>
        <color theme="0"/>
      </font>
      <fill>
        <patternFill>
          <bgColor theme="5" tint="-0.499984740745262"/>
        </patternFill>
      </fill>
    </dxf>
    <dxf>
      <fill>
        <patternFill>
          <bgColor theme="5" tint="0.79998168889431442"/>
        </patternFill>
      </fill>
      <border>
        <bottom style="thin">
          <color theme="5" tint="-0.499984740745262"/>
        </bottom>
        <vertical/>
        <horizontal/>
      </border>
    </dxf>
    <dxf>
      <font>
        <b val="0"/>
        <i val="0"/>
        <color theme="0"/>
      </font>
      <fill>
        <patternFill>
          <bgColor theme="5"/>
        </patternFill>
      </fill>
    </dxf>
    <dxf>
      <border>
        <bottom style="thin">
          <color theme="5" tint="-0.499984740745262"/>
        </bottom>
        <vertical/>
        <horizontal/>
      </border>
    </dxf>
    <dxf>
      <border>
        <bottom style="thin">
          <color theme="5" tint="-0.499984740745262"/>
        </bottom>
        <vertical/>
        <horizontal/>
      </border>
    </dxf>
    <dxf>
      <border>
        <bottom style="thin">
          <color theme="5" tint="-0.499984740745262"/>
        </bottom>
        <vertical/>
        <horizontal/>
      </border>
    </dxf>
    <dxf>
      <font>
        <b/>
        <i val="0"/>
        <color theme="5" tint="-0.499984740745262"/>
      </font>
      <fill>
        <patternFill>
          <bgColor theme="5" tint="0.79998168889431442"/>
        </patternFill>
      </fill>
    </dxf>
    <dxf>
      <fill>
        <patternFill>
          <bgColor theme="5" tint="0.79998168889431442"/>
        </patternFill>
      </fill>
    </dxf>
    <dxf>
      <font>
        <b val="0"/>
        <i val="0"/>
        <color theme="0"/>
      </font>
      <fill>
        <patternFill>
          <bgColor theme="5"/>
        </patternFill>
      </fill>
    </dxf>
    <dxf>
      <fill>
        <patternFill>
          <bgColor theme="5" tint="0.79998168889431442"/>
        </patternFill>
      </fill>
    </dxf>
    <dxf>
      <border>
        <bottom style="thin">
          <color theme="5" tint="-0.499984740745262"/>
        </bottom>
        <vertical/>
        <horizontal/>
      </border>
    </dxf>
    <dxf>
      <border>
        <bottom style="thin">
          <color theme="5" tint="-0.499984740745262"/>
        </bottom>
        <vertical/>
        <horizontal/>
      </border>
    </dxf>
    <dxf>
      <font>
        <b/>
        <i val="0"/>
        <color theme="5" tint="-0.499984740745262"/>
      </font>
      <fill>
        <patternFill>
          <bgColor theme="5" tint="0.79998168889431442"/>
        </patternFill>
      </fill>
    </dxf>
  </dxfs>
  <tableStyles count="0" defaultTableStyle="TableStyleMedium2" defaultPivotStyle="PivotStyleLight16"/>
  <colors>
    <mruColors>
      <color rgb="FF6B00B4"/>
      <color rgb="FF4600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387350</xdr:colOff>
      <xdr:row>0</xdr:row>
      <xdr:rowOff>0</xdr:rowOff>
    </xdr:from>
    <xdr:to>
      <xdr:col>8</xdr:col>
      <xdr:colOff>216145</xdr:colOff>
      <xdr:row>13</xdr:row>
      <xdr:rowOff>95250</xdr:rowOff>
    </xdr:to>
    <xdr:pic>
      <xdr:nvPicPr>
        <xdr:cNvPr id="3" name="Picture 2">
          <a:extLst>
            <a:ext uri="{FF2B5EF4-FFF2-40B4-BE49-F238E27FC236}">
              <a16:creationId xmlns:a16="http://schemas.microsoft.com/office/drawing/2014/main" id="{55FC5991-A8BF-6044-0A5B-DB4A53EF22AB}"/>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6029" b="26781"/>
        <a:stretch/>
      </xdr:blipFill>
      <xdr:spPr>
        <a:xfrm>
          <a:off x="1606550" y="539750"/>
          <a:ext cx="3486395" cy="1993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82551</xdr:colOff>
      <xdr:row>0</xdr:row>
      <xdr:rowOff>0</xdr:rowOff>
    </xdr:from>
    <xdr:to>
      <xdr:col>1</xdr:col>
      <xdr:colOff>528051</xdr:colOff>
      <xdr:row>1</xdr:row>
      <xdr:rowOff>19050</xdr:rowOff>
    </xdr:to>
    <xdr:pic>
      <xdr:nvPicPr>
        <xdr:cNvPr id="2" name="Picture 1">
          <a:extLst>
            <a:ext uri="{FF2B5EF4-FFF2-40B4-BE49-F238E27FC236}">
              <a16:creationId xmlns:a16="http://schemas.microsoft.com/office/drawing/2014/main" id="{26CC99C0-0645-42DF-B2EC-716030B071D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6029" b="26781"/>
        <a:stretch/>
      </xdr:blipFill>
      <xdr:spPr>
        <a:xfrm>
          <a:off x="82551" y="0"/>
          <a:ext cx="699500" cy="400050"/>
        </a:xfrm>
        <a:prstGeom prst="rect">
          <a:avLst/>
        </a:prstGeom>
      </xdr:spPr>
    </xdr:pic>
    <xdr:clientData/>
  </xdr:twoCellAnchor>
  <xdr:twoCellAnchor>
    <xdr:from>
      <xdr:col>13</xdr:col>
      <xdr:colOff>0</xdr:colOff>
      <xdr:row>3</xdr:row>
      <xdr:rowOff>0</xdr:rowOff>
    </xdr:from>
    <xdr:to>
      <xdr:col>13</xdr:col>
      <xdr:colOff>584200</xdr:colOff>
      <xdr:row>4</xdr:row>
      <xdr:rowOff>169500</xdr:rowOff>
    </xdr:to>
    <xdr:sp macro="[0]!Restart_YourProject" textlink="">
      <xdr:nvSpPr>
        <xdr:cNvPr id="5" name="Rectangle: Rounded Corners 4">
          <a:extLst>
            <a:ext uri="{FF2B5EF4-FFF2-40B4-BE49-F238E27FC236}">
              <a16:creationId xmlns:a16="http://schemas.microsoft.com/office/drawing/2014/main" id="{C00F25F4-9DFF-4B2C-AA99-FD4C59BC69EC}"/>
            </a:ext>
          </a:extLst>
        </xdr:cNvPr>
        <xdr:cNvSpPr/>
      </xdr:nvSpPr>
      <xdr:spPr>
        <a:xfrm>
          <a:off x="9169400" y="698500"/>
          <a:ext cx="584200" cy="360000"/>
        </a:xfrm>
        <a:prstGeom prst="roundRect">
          <a:avLst/>
        </a:prstGeom>
        <a:solidFill>
          <a:schemeClr val="accent2">
            <a:lumMod val="40000"/>
            <a:lumOff val="60000"/>
          </a:schemeClr>
        </a:solidFill>
        <a:ln>
          <a:noFill/>
        </a:ln>
        <a:effectLst>
          <a:outerShdw blurRad="50800" dist="38100" dir="5400000" algn="t" rotWithShape="0">
            <a:prstClr val="black">
              <a:alpha val="40000"/>
            </a:prstClr>
          </a:outerShdw>
        </a:effectLst>
        <a:scene3d>
          <a:camera prst="orthographicFront">
            <a:rot lat="0" lon="0" rev="0"/>
          </a:camera>
          <a:lightRig rig="contrasting" dir="t">
            <a:rot lat="0" lon="0" rev="7800000"/>
          </a:lightRig>
        </a:scene3d>
        <a:sp3d>
          <a:bevelT w="139700" h="1397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GB" sz="1100" b="1">
              <a:solidFill>
                <a:schemeClr val="accent2">
                  <a:lumMod val="75000"/>
                </a:schemeClr>
              </a:solidFill>
            </a:rPr>
            <a:t>RESET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82551</xdr:colOff>
      <xdr:row>0</xdr:row>
      <xdr:rowOff>0</xdr:rowOff>
    </xdr:from>
    <xdr:to>
      <xdr:col>1</xdr:col>
      <xdr:colOff>528051</xdr:colOff>
      <xdr:row>1</xdr:row>
      <xdr:rowOff>19050</xdr:rowOff>
    </xdr:to>
    <xdr:pic>
      <xdr:nvPicPr>
        <xdr:cNvPr id="2" name="Picture 1">
          <a:extLst>
            <a:ext uri="{FF2B5EF4-FFF2-40B4-BE49-F238E27FC236}">
              <a16:creationId xmlns:a16="http://schemas.microsoft.com/office/drawing/2014/main" id="{45E118BC-F57F-4677-AAEE-1B204854A5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6029" b="26781"/>
        <a:stretch/>
      </xdr:blipFill>
      <xdr:spPr>
        <a:xfrm>
          <a:off x="82551" y="0"/>
          <a:ext cx="699500" cy="400050"/>
        </a:xfrm>
        <a:prstGeom prst="rect">
          <a:avLst/>
        </a:prstGeom>
      </xdr:spPr>
    </xdr:pic>
    <xdr:clientData/>
  </xdr:twoCellAnchor>
  <xdr:twoCellAnchor>
    <xdr:from>
      <xdr:col>13</xdr:col>
      <xdr:colOff>0</xdr:colOff>
      <xdr:row>3</xdr:row>
      <xdr:rowOff>0</xdr:rowOff>
    </xdr:from>
    <xdr:to>
      <xdr:col>13</xdr:col>
      <xdr:colOff>584200</xdr:colOff>
      <xdr:row>4</xdr:row>
      <xdr:rowOff>169500</xdr:rowOff>
    </xdr:to>
    <xdr:sp macro="[0]!Restart_AddIns" textlink="">
      <xdr:nvSpPr>
        <xdr:cNvPr id="5" name="Rectangle: Rounded Corners 4">
          <a:extLst>
            <a:ext uri="{FF2B5EF4-FFF2-40B4-BE49-F238E27FC236}">
              <a16:creationId xmlns:a16="http://schemas.microsoft.com/office/drawing/2014/main" id="{92510C8C-624A-49BC-B7A4-D97F146DB12A}"/>
            </a:ext>
          </a:extLst>
        </xdr:cNvPr>
        <xdr:cNvSpPr/>
      </xdr:nvSpPr>
      <xdr:spPr>
        <a:xfrm>
          <a:off x="9169400" y="698500"/>
          <a:ext cx="584200" cy="360000"/>
        </a:xfrm>
        <a:prstGeom prst="roundRect">
          <a:avLst/>
        </a:prstGeom>
        <a:solidFill>
          <a:schemeClr val="accent2">
            <a:lumMod val="40000"/>
            <a:lumOff val="60000"/>
          </a:schemeClr>
        </a:solidFill>
        <a:ln>
          <a:noFill/>
        </a:ln>
        <a:effectLst>
          <a:outerShdw blurRad="50800" dist="38100" dir="5400000" algn="t" rotWithShape="0">
            <a:prstClr val="black">
              <a:alpha val="40000"/>
            </a:prstClr>
          </a:outerShdw>
        </a:effectLst>
        <a:scene3d>
          <a:camera prst="orthographicFront">
            <a:rot lat="0" lon="0" rev="0"/>
          </a:camera>
          <a:lightRig rig="contrasting" dir="t">
            <a:rot lat="0" lon="0" rev="7800000"/>
          </a:lightRig>
        </a:scene3d>
        <a:sp3d>
          <a:bevelT w="139700" h="1397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GB" sz="1100" b="1">
              <a:solidFill>
                <a:schemeClr val="accent2">
                  <a:lumMod val="75000"/>
                </a:schemeClr>
              </a:solidFill>
            </a:rPr>
            <a:t>RESET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82551</xdr:colOff>
      <xdr:row>0</xdr:row>
      <xdr:rowOff>0</xdr:rowOff>
    </xdr:from>
    <xdr:to>
      <xdr:col>1</xdr:col>
      <xdr:colOff>528051</xdr:colOff>
      <xdr:row>1</xdr:row>
      <xdr:rowOff>19050</xdr:rowOff>
    </xdr:to>
    <xdr:pic>
      <xdr:nvPicPr>
        <xdr:cNvPr id="2" name="Picture 1">
          <a:extLst>
            <a:ext uri="{FF2B5EF4-FFF2-40B4-BE49-F238E27FC236}">
              <a16:creationId xmlns:a16="http://schemas.microsoft.com/office/drawing/2014/main" id="{CA598021-D0FA-449B-9BFD-12C11452324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6029" b="26781"/>
        <a:stretch/>
      </xdr:blipFill>
      <xdr:spPr>
        <a:xfrm>
          <a:off x="82551" y="0"/>
          <a:ext cx="699500" cy="400050"/>
        </a:xfrm>
        <a:prstGeom prst="rect">
          <a:avLst/>
        </a:prstGeom>
      </xdr:spPr>
    </xdr:pic>
    <xdr:clientData/>
  </xdr:twoCellAnchor>
  <xdr:twoCellAnchor>
    <xdr:from>
      <xdr:col>13</xdr:col>
      <xdr:colOff>0</xdr:colOff>
      <xdr:row>3</xdr:row>
      <xdr:rowOff>0</xdr:rowOff>
    </xdr:from>
    <xdr:to>
      <xdr:col>13</xdr:col>
      <xdr:colOff>584200</xdr:colOff>
      <xdr:row>4</xdr:row>
      <xdr:rowOff>169500</xdr:rowOff>
    </xdr:to>
    <xdr:sp macro="[0]!Restart_YourRevenues" textlink="">
      <xdr:nvSpPr>
        <xdr:cNvPr id="4" name="Rectangle: Rounded Corners 3">
          <a:extLst>
            <a:ext uri="{FF2B5EF4-FFF2-40B4-BE49-F238E27FC236}">
              <a16:creationId xmlns:a16="http://schemas.microsoft.com/office/drawing/2014/main" id="{20E6FA27-1CB2-4FD2-B2B9-0FBB63C761F5}"/>
            </a:ext>
          </a:extLst>
        </xdr:cNvPr>
        <xdr:cNvSpPr/>
      </xdr:nvSpPr>
      <xdr:spPr>
        <a:xfrm>
          <a:off x="9169400" y="698500"/>
          <a:ext cx="584200" cy="360000"/>
        </a:xfrm>
        <a:prstGeom prst="roundRect">
          <a:avLst/>
        </a:prstGeom>
        <a:solidFill>
          <a:schemeClr val="accent2">
            <a:lumMod val="40000"/>
            <a:lumOff val="60000"/>
          </a:schemeClr>
        </a:solidFill>
        <a:ln>
          <a:noFill/>
        </a:ln>
        <a:effectLst>
          <a:outerShdw blurRad="50800" dist="38100" dir="5400000" algn="t" rotWithShape="0">
            <a:prstClr val="black">
              <a:alpha val="40000"/>
            </a:prstClr>
          </a:outerShdw>
        </a:effectLst>
        <a:scene3d>
          <a:camera prst="orthographicFront">
            <a:rot lat="0" lon="0" rev="0"/>
          </a:camera>
          <a:lightRig rig="contrasting" dir="t">
            <a:rot lat="0" lon="0" rev="7800000"/>
          </a:lightRig>
        </a:scene3d>
        <a:sp3d>
          <a:bevelT w="139700" h="1397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GB" sz="1100" b="1">
              <a:solidFill>
                <a:schemeClr val="accent2">
                  <a:lumMod val="75000"/>
                </a:schemeClr>
              </a:solidFill>
            </a:rPr>
            <a:t>RESET</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82551</xdr:colOff>
      <xdr:row>0</xdr:row>
      <xdr:rowOff>0</xdr:rowOff>
    </xdr:from>
    <xdr:to>
      <xdr:col>1</xdr:col>
      <xdr:colOff>528051</xdr:colOff>
      <xdr:row>1</xdr:row>
      <xdr:rowOff>19050</xdr:rowOff>
    </xdr:to>
    <xdr:pic>
      <xdr:nvPicPr>
        <xdr:cNvPr id="2" name="Picture 1">
          <a:extLst>
            <a:ext uri="{FF2B5EF4-FFF2-40B4-BE49-F238E27FC236}">
              <a16:creationId xmlns:a16="http://schemas.microsoft.com/office/drawing/2014/main" id="{23468874-FE89-4981-B286-A3F23FB153D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6029" b="26781"/>
        <a:stretch/>
      </xdr:blipFill>
      <xdr:spPr>
        <a:xfrm>
          <a:off x="82551" y="0"/>
          <a:ext cx="699500" cy="400050"/>
        </a:xfrm>
        <a:prstGeom prst="rect">
          <a:avLst/>
        </a:prstGeom>
      </xdr:spPr>
    </xdr:pic>
    <xdr:clientData/>
  </xdr:twoCellAnchor>
  <xdr:twoCellAnchor>
    <xdr:from>
      <xdr:col>13</xdr:col>
      <xdr:colOff>0</xdr:colOff>
      <xdr:row>3</xdr:row>
      <xdr:rowOff>0</xdr:rowOff>
    </xdr:from>
    <xdr:to>
      <xdr:col>13</xdr:col>
      <xdr:colOff>584200</xdr:colOff>
      <xdr:row>4</xdr:row>
      <xdr:rowOff>169500</xdr:rowOff>
    </xdr:to>
    <xdr:sp macro="[0]!Restart_AddInfo2" textlink="">
      <xdr:nvSpPr>
        <xdr:cNvPr id="3" name="Rectangle: Rounded Corners 2">
          <a:extLst>
            <a:ext uri="{FF2B5EF4-FFF2-40B4-BE49-F238E27FC236}">
              <a16:creationId xmlns:a16="http://schemas.microsoft.com/office/drawing/2014/main" id="{284996C5-8A5C-48A9-A8D4-16F524D57C2E}"/>
            </a:ext>
          </a:extLst>
        </xdr:cNvPr>
        <xdr:cNvSpPr/>
      </xdr:nvSpPr>
      <xdr:spPr>
        <a:xfrm>
          <a:off x="9169400" y="698500"/>
          <a:ext cx="584200" cy="360000"/>
        </a:xfrm>
        <a:prstGeom prst="roundRect">
          <a:avLst/>
        </a:prstGeom>
        <a:solidFill>
          <a:schemeClr val="accent2">
            <a:lumMod val="40000"/>
            <a:lumOff val="60000"/>
          </a:schemeClr>
        </a:solidFill>
        <a:ln>
          <a:noFill/>
        </a:ln>
        <a:effectLst>
          <a:outerShdw blurRad="50800" dist="38100" dir="5400000" algn="t" rotWithShape="0">
            <a:prstClr val="black">
              <a:alpha val="40000"/>
            </a:prstClr>
          </a:outerShdw>
        </a:effectLst>
        <a:scene3d>
          <a:camera prst="orthographicFront">
            <a:rot lat="0" lon="0" rev="0"/>
          </a:camera>
          <a:lightRig rig="contrasting" dir="t">
            <a:rot lat="0" lon="0" rev="7800000"/>
          </a:lightRig>
        </a:scene3d>
        <a:sp3d>
          <a:bevelT w="139700" h="1397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GB" sz="1100" b="1">
              <a:solidFill>
                <a:schemeClr val="accent2">
                  <a:lumMod val="75000"/>
                </a:schemeClr>
              </a:solidFill>
            </a:rPr>
            <a:t>RESET</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82551</xdr:colOff>
      <xdr:row>0</xdr:row>
      <xdr:rowOff>0</xdr:rowOff>
    </xdr:from>
    <xdr:to>
      <xdr:col>1</xdr:col>
      <xdr:colOff>331201</xdr:colOff>
      <xdr:row>0</xdr:row>
      <xdr:rowOff>400050</xdr:rowOff>
    </xdr:to>
    <xdr:pic>
      <xdr:nvPicPr>
        <xdr:cNvPr id="2" name="Picture 1">
          <a:extLst>
            <a:ext uri="{FF2B5EF4-FFF2-40B4-BE49-F238E27FC236}">
              <a16:creationId xmlns:a16="http://schemas.microsoft.com/office/drawing/2014/main" id="{FCF46057-A5D4-4A54-81B2-B9C19230966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6029" b="26781"/>
        <a:stretch/>
      </xdr:blipFill>
      <xdr:spPr>
        <a:xfrm>
          <a:off x="82551" y="0"/>
          <a:ext cx="699500" cy="400050"/>
        </a:xfrm>
        <a:prstGeom prst="rect">
          <a:avLst/>
        </a:prstGeom>
      </xdr:spPr>
    </xdr:pic>
    <xdr:clientData/>
  </xdr:twoCellAnchor>
  <xdr:twoCellAnchor>
    <xdr:from>
      <xdr:col>8</xdr:col>
      <xdr:colOff>657087</xdr:colOff>
      <xdr:row>0</xdr:row>
      <xdr:rowOff>27609</xdr:rowOff>
    </xdr:from>
    <xdr:to>
      <xdr:col>9</xdr:col>
      <xdr:colOff>689113</xdr:colOff>
      <xdr:row>0</xdr:row>
      <xdr:rowOff>347870</xdr:rowOff>
    </xdr:to>
    <xdr:sp macro="[0]!RestartAll_V3" textlink="">
      <xdr:nvSpPr>
        <xdr:cNvPr id="4" name="Rectangle: Rounded Corners 3">
          <a:extLst>
            <a:ext uri="{FF2B5EF4-FFF2-40B4-BE49-F238E27FC236}">
              <a16:creationId xmlns:a16="http://schemas.microsoft.com/office/drawing/2014/main" id="{DE01E1B6-52EB-4A2E-A2E7-317206F2640B}"/>
            </a:ext>
          </a:extLst>
        </xdr:cNvPr>
        <xdr:cNvSpPr/>
      </xdr:nvSpPr>
      <xdr:spPr>
        <a:xfrm>
          <a:off x="6327913" y="27609"/>
          <a:ext cx="777461" cy="320261"/>
        </a:xfrm>
        <a:prstGeom prst="roundRect">
          <a:avLst/>
        </a:prstGeom>
        <a:solidFill>
          <a:schemeClr val="accent2">
            <a:lumMod val="40000"/>
            <a:lumOff val="60000"/>
          </a:schemeClr>
        </a:solidFill>
        <a:ln>
          <a:noFill/>
        </a:ln>
        <a:effectLst>
          <a:outerShdw blurRad="50800" dist="38100" dir="5400000" algn="t" rotWithShape="0">
            <a:prstClr val="black">
              <a:alpha val="40000"/>
            </a:prstClr>
          </a:outerShdw>
        </a:effectLst>
        <a:scene3d>
          <a:camera prst="orthographicFront">
            <a:rot lat="0" lon="0" rev="0"/>
          </a:camera>
          <a:lightRig rig="contrasting" dir="t">
            <a:rot lat="0" lon="0" rev="7800000"/>
          </a:lightRig>
        </a:scene3d>
        <a:sp3d>
          <a:bevelT w="139700" h="1397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GB" sz="1100" b="1">
              <a:solidFill>
                <a:schemeClr val="accent2">
                  <a:lumMod val="75000"/>
                </a:schemeClr>
              </a:solidFill>
            </a:rPr>
            <a:t>RESTART</a:t>
          </a:r>
        </a:p>
      </xdr:txBody>
    </xdr:sp>
    <xdr:clientData/>
  </xdr:twoCellAnchor>
  <xdr:twoCellAnchor>
    <xdr:from>
      <xdr:col>8</xdr:col>
      <xdr:colOff>715618</xdr:colOff>
      <xdr:row>38</xdr:row>
      <xdr:rowOff>30922</xdr:rowOff>
    </xdr:from>
    <xdr:to>
      <xdr:col>9</xdr:col>
      <xdr:colOff>684696</xdr:colOff>
      <xdr:row>38</xdr:row>
      <xdr:rowOff>226391</xdr:rowOff>
    </xdr:to>
    <xdr:sp macro="[0]!ResetEarlyPaymentV2" textlink="">
      <xdr:nvSpPr>
        <xdr:cNvPr id="5" name="Rectangle: Rounded Corners 4">
          <a:extLst>
            <a:ext uri="{FF2B5EF4-FFF2-40B4-BE49-F238E27FC236}">
              <a16:creationId xmlns:a16="http://schemas.microsoft.com/office/drawing/2014/main" id="{480A1578-E181-4074-BEC9-60B2E5D0A217}"/>
            </a:ext>
          </a:extLst>
        </xdr:cNvPr>
        <xdr:cNvSpPr/>
      </xdr:nvSpPr>
      <xdr:spPr>
        <a:xfrm>
          <a:off x="6386444" y="6342270"/>
          <a:ext cx="714513" cy="195469"/>
        </a:xfrm>
        <a:prstGeom prst="roundRect">
          <a:avLst/>
        </a:prstGeom>
        <a:solidFill>
          <a:schemeClr val="accent1">
            <a:lumMod val="20000"/>
            <a:lumOff val="80000"/>
          </a:schemeClr>
        </a:solidFill>
        <a:ln>
          <a:noFill/>
        </a:ln>
        <a:effectLst>
          <a:outerShdw blurRad="50800" dist="38100" dir="5400000" algn="t" rotWithShape="0">
            <a:prstClr val="black">
              <a:alpha val="40000"/>
            </a:prstClr>
          </a:outerShdw>
        </a:effectLst>
        <a:scene3d>
          <a:camera prst="orthographicFront">
            <a:rot lat="0" lon="0" rev="0"/>
          </a:camera>
          <a:lightRig rig="contrasting" dir="t">
            <a:rot lat="0" lon="0" rev="7800000"/>
          </a:lightRig>
        </a:scene3d>
        <a:sp3d>
          <a:bevelT w="139700" h="1397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GB" sz="1100" b="1">
              <a:solidFill>
                <a:schemeClr val="accent1"/>
              </a:solidFill>
            </a:rPr>
            <a:t>RESET</a:t>
          </a:r>
        </a:p>
      </xdr:txBody>
    </xdr:sp>
    <xdr:clientData/>
  </xdr:twoCellAnchor>
  <xdr:twoCellAnchor>
    <xdr:from>
      <xdr:col>7</xdr:col>
      <xdr:colOff>480392</xdr:colOff>
      <xdr:row>0</xdr:row>
      <xdr:rowOff>27609</xdr:rowOff>
    </xdr:from>
    <xdr:to>
      <xdr:col>8</xdr:col>
      <xdr:colOff>512418</xdr:colOff>
      <xdr:row>0</xdr:row>
      <xdr:rowOff>347870</xdr:rowOff>
    </xdr:to>
    <xdr:sp macro="[0]!PDFPrinter" textlink="">
      <xdr:nvSpPr>
        <xdr:cNvPr id="6" name="Rectangle: Rounded Corners 5">
          <a:extLst>
            <a:ext uri="{FF2B5EF4-FFF2-40B4-BE49-F238E27FC236}">
              <a16:creationId xmlns:a16="http://schemas.microsoft.com/office/drawing/2014/main" id="{F9F2B7B3-F043-AC91-79BE-8E6ADED48EE4}"/>
            </a:ext>
          </a:extLst>
        </xdr:cNvPr>
        <xdr:cNvSpPr/>
      </xdr:nvSpPr>
      <xdr:spPr>
        <a:xfrm>
          <a:off x="5405783" y="27609"/>
          <a:ext cx="777461" cy="320261"/>
        </a:xfrm>
        <a:prstGeom prst="roundRect">
          <a:avLst/>
        </a:prstGeom>
        <a:solidFill>
          <a:schemeClr val="accent2">
            <a:lumMod val="50000"/>
          </a:schemeClr>
        </a:solidFill>
        <a:ln>
          <a:noFill/>
        </a:ln>
        <a:effectLst>
          <a:outerShdw blurRad="50800" dist="38100" dir="5400000" algn="t" rotWithShape="0">
            <a:prstClr val="black">
              <a:alpha val="40000"/>
            </a:prstClr>
          </a:outerShdw>
        </a:effectLst>
        <a:scene3d>
          <a:camera prst="orthographicFront">
            <a:rot lat="0" lon="0" rev="0"/>
          </a:camera>
          <a:lightRig rig="contrasting" dir="t">
            <a:rot lat="0" lon="0" rev="7800000"/>
          </a:lightRig>
        </a:scene3d>
        <a:sp3d>
          <a:bevelT w="139700" h="1397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GB" sz="1100" b="1">
              <a:solidFill>
                <a:schemeClr val="bg1"/>
              </a:solidFill>
            </a:rPr>
            <a:t>PRINT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273050</xdr:colOff>
      <xdr:row>16</xdr:row>
      <xdr:rowOff>25400</xdr:rowOff>
    </xdr:from>
    <xdr:to>
      <xdr:col>5</xdr:col>
      <xdr:colOff>596900</xdr:colOff>
      <xdr:row>17</xdr:row>
      <xdr:rowOff>57150</xdr:rowOff>
    </xdr:to>
    <xdr:sp macro="" textlink="">
      <xdr:nvSpPr>
        <xdr:cNvPr id="2" name="Arrow: Right 1">
          <a:extLst>
            <a:ext uri="{FF2B5EF4-FFF2-40B4-BE49-F238E27FC236}">
              <a16:creationId xmlns:a16="http://schemas.microsoft.com/office/drawing/2014/main" id="{8CAAE437-D5C5-B431-8B03-FCC541EF9314}"/>
            </a:ext>
          </a:extLst>
        </xdr:cNvPr>
        <xdr:cNvSpPr/>
      </xdr:nvSpPr>
      <xdr:spPr>
        <a:xfrm>
          <a:off x="4337050" y="2578100"/>
          <a:ext cx="323850" cy="184150"/>
        </a:xfrm>
        <a:prstGeom prst="rightArrow">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82551</xdr:colOff>
      <xdr:row>0</xdr:row>
      <xdr:rowOff>0</xdr:rowOff>
    </xdr:from>
    <xdr:to>
      <xdr:col>0</xdr:col>
      <xdr:colOff>782051</xdr:colOff>
      <xdr:row>1</xdr:row>
      <xdr:rowOff>19050</xdr:rowOff>
    </xdr:to>
    <xdr:pic>
      <xdr:nvPicPr>
        <xdr:cNvPr id="3" name="Picture 2">
          <a:extLst>
            <a:ext uri="{FF2B5EF4-FFF2-40B4-BE49-F238E27FC236}">
              <a16:creationId xmlns:a16="http://schemas.microsoft.com/office/drawing/2014/main" id="{614E56FB-1952-478F-9BCA-8EB6BE64E11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6029" b="26781"/>
        <a:stretch/>
      </xdr:blipFill>
      <xdr:spPr>
        <a:xfrm>
          <a:off x="82551" y="0"/>
          <a:ext cx="699500" cy="400050"/>
        </a:xfrm>
        <a:prstGeom prst="rect">
          <a:avLst/>
        </a:prstGeom>
      </xdr:spPr>
    </xdr:pic>
    <xdr:clientData/>
  </xdr:twoCellAnchor>
</xdr:wsDr>
</file>

<file path=xl/theme/theme1.xml><?xml version="1.0" encoding="utf-8"?>
<a:theme xmlns:a="http://schemas.openxmlformats.org/drawingml/2006/main" name="Office Theme">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CE874-968C-42B8-B284-9327357A0FCB}">
  <sheetPr codeName="Sheet1">
    <tabColor theme="5" tint="-0.499984740745262"/>
  </sheetPr>
  <dimension ref="A14:M500"/>
  <sheetViews>
    <sheetView tabSelected="1" workbookViewId="0">
      <selection activeCell="D16" sqref="D16:H16"/>
    </sheetView>
  </sheetViews>
  <sheetFormatPr baseColWidth="10" defaultColWidth="8.6640625" defaultRowHeight="12" x14ac:dyDescent="0.15"/>
  <cols>
    <col min="1" max="16384" width="8.6640625" style="159"/>
  </cols>
  <sheetData>
    <row r="14" spans="1:13" s="34" customFormat="1" ht="30" customHeight="1" x14ac:dyDescent="0.15">
      <c r="A14" s="1" t="s">
        <v>114</v>
      </c>
      <c r="B14" s="1"/>
      <c r="C14" s="1"/>
      <c r="D14" s="1"/>
      <c r="E14" s="1"/>
      <c r="F14" s="1"/>
      <c r="G14" s="1"/>
      <c r="H14" s="1"/>
      <c r="I14" s="1"/>
      <c r="J14" s="1"/>
      <c r="K14" s="1"/>
      <c r="L14" s="160"/>
      <c r="M14" s="160"/>
    </row>
    <row r="15" spans="1:13" s="35" customFormat="1" ht="18" customHeight="1" x14ac:dyDescent="0.15">
      <c r="A15" s="227"/>
      <c r="B15" s="227"/>
      <c r="C15" s="227"/>
      <c r="D15" s="227"/>
      <c r="E15" s="227"/>
      <c r="F15" s="227"/>
      <c r="G15" s="227"/>
      <c r="H15" s="227"/>
      <c r="I15" s="227"/>
      <c r="J15" s="227"/>
      <c r="K15" s="227"/>
    </row>
    <row r="16" spans="1:13" s="161" customFormat="1" ht="59.5" customHeight="1" x14ac:dyDescent="0.15">
      <c r="D16" s="228" t="s">
        <v>214</v>
      </c>
      <c r="E16" s="228"/>
      <c r="F16" s="228"/>
      <c r="G16" s="228"/>
      <c r="H16" s="228"/>
    </row>
    <row r="17" spans="4:8" s="161" customFormat="1" ht="11.5" customHeight="1" x14ac:dyDescent="0.15">
      <c r="D17" s="162"/>
      <c r="E17" s="162"/>
      <c r="F17" s="162"/>
      <c r="G17" s="162"/>
      <c r="H17" s="162"/>
    </row>
    <row r="18" spans="4:8" s="161" customFormat="1" ht="11.5" customHeight="1" x14ac:dyDescent="0.15">
      <c r="D18" s="162"/>
      <c r="E18" s="162"/>
      <c r="F18" s="162"/>
      <c r="G18" s="162"/>
      <c r="H18" s="162"/>
    </row>
    <row r="19" spans="4:8" s="161" customFormat="1" x14ac:dyDescent="0.15"/>
    <row r="20" spans="4:8" s="161" customFormat="1" x14ac:dyDescent="0.15"/>
    <row r="21" spans="4:8" s="161" customFormat="1" x14ac:dyDescent="0.15"/>
    <row r="22" spans="4:8" s="161" customFormat="1" x14ac:dyDescent="0.15"/>
    <row r="23" spans="4:8" s="161" customFormat="1" x14ac:dyDescent="0.15"/>
    <row r="24" spans="4:8" s="161" customFormat="1" x14ac:dyDescent="0.15"/>
    <row r="25" spans="4:8" s="161" customFormat="1" x14ac:dyDescent="0.15"/>
    <row r="26" spans="4:8" s="161" customFormat="1" x14ac:dyDescent="0.15"/>
    <row r="27" spans="4:8" s="161" customFormat="1" x14ac:dyDescent="0.15"/>
    <row r="28" spans="4:8" s="161" customFormat="1" x14ac:dyDescent="0.15"/>
    <row r="29" spans="4:8" s="161" customFormat="1" x14ac:dyDescent="0.15"/>
    <row r="30" spans="4:8" s="161" customFormat="1" x14ac:dyDescent="0.15"/>
    <row r="31" spans="4:8" s="161" customFormat="1" x14ac:dyDescent="0.15"/>
    <row r="32" spans="4:8" s="161" customFormat="1" x14ac:dyDescent="0.15"/>
    <row r="33" s="161" customFormat="1" x14ac:dyDescent="0.15"/>
    <row r="34" s="161" customFormat="1" x14ac:dyDescent="0.15"/>
    <row r="35" s="161" customFormat="1" x14ac:dyDescent="0.15"/>
    <row r="36" s="161" customFormat="1" x14ac:dyDescent="0.15"/>
    <row r="37" s="161" customFormat="1" x14ac:dyDescent="0.15"/>
    <row r="38" s="161" customFormat="1" x14ac:dyDescent="0.15"/>
    <row r="39" s="161" customFormat="1" x14ac:dyDescent="0.15"/>
    <row r="40" s="161" customFormat="1" x14ac:dyDescent="0.15"/>
    <row r="41" s="161" customFormat="1" x14ac:dyDescent="0.15"/>
    <row r="42" s="161" customFormat="1" x14ac:dyDescent="0.15"/>
    <row r="43" s="161" customFormat="1" x14ac:dyDescent="0.15"/>
    <row r="44" s="161" customFormat="1" x14ac:dyDescent="0.15"/>
    <row r="45" s="161" customFormat="1" x14ac:dyDescent="0.15"/>
    <row r="46" s="161" customFormat="1" x14ac:dyDescent="0.15"/>
    <row r="47" s="161" customFormat="1" x14ac:dyDescent="0.15"/>
    <row r="48" s="161" customFormat="1" x14ac:dyDescent="0.15"/>
    <row r="49" s="161" customFormat="1" x14ac:dyDescent="0.15"/>
    <row r="50" s="161" customFormat="1" x14ac:dyDescent="0.15"/>
    <row r="51" s="161" customFormat="1" x14ac:dyDescent="0.15"/>
    <row r="52" s="161" customFormat="1" x14ac:dyDescent="0.15"/>
    <row r="53" s="161" customFormat="1" x14ac:dyDescent="0.15"/>
    <row r="54" s="161" customFormat="1" x14ac:dyDescent="0.15"/>
    <row r="55" s="161" customFormat="1" x14ac:dyDescent="0.15"/>
    <row r="56" s="161" customFormat="1" x14ac:dyDescent="0.15"/>
    <row r="57" s="161" customFormat="1" x14ac:dyDescent="0.15"/>
    <row r="58" s="161" customFormat="1" x14ac:dyDescent="0.15"/>
    <row r="59" s="161" customFormat="1" x14ac:dyDescent="0.15"/>
    <row r="60" s="161" customFormat="1" x14ac:dyDescent="0.15"/>
    <row r="61" s="161" customFormat="1" x14ac:dyDescent="0.15"/>
    <row r="62" s="161" customFormat="1" x14ac:dyDescent="0.15"/>
    <row r="63" s="161" customFormat="1" x14ac:dyDescent="0.15"/>
    <row r="64" s="161" customFormat="1" x14ac:dyDescent="0.15"/>
    <row r="65" s="161" customFormat="1" x14ac:dyDescent="0.15"/>
    <row r="66" s="161" customFormat="1" x14ac:dyDescent="0.15"/>
    <row r="67" s="161" customFormat="1" x14ac:dyDescent="0.15"/>
    <row r="68" s="161" customFormat="1" x14ac:dyDescent="0.15"/>
    <row r="69" s="161" customFormat="1" x14ac:dyDescent="0.15"/>
    <row r="70" s="161" customFormat="1" x14ac:dyDescent="0.15"/>
    <row r="71" s="161" customFormat="1" x14ac:dyDescent="0.15"/>
    <row r="72" s="161" customFormat="1" x14ac:dyDescent="0.15"/>
    <row r="73" s="161" customFormat="1" x14ac:dyDescent="0.15"/>
    <row r="74" s="161" customFormat="1" x14ac:dyDescent="0.15"/>
    <row r="75" s="161" customFormat="1" x14ac:dyDescent="0.15"/>
    <row r="76" s="161" customFormat="1" x14ac:dyDescent="0.15"/>
    <row r="77" s="161" customFormat="1" x14ac:dyDescent="0.15"/>
    <row r="78" s="161" customFormat="1" x14ac:dyDescent="0.15"/>
    <row r="79" s="161" customFormat="1" x14ac:dyDescent="0.15"/>
    <row r="80" s="161" customFormat="1" x14ac:dyDescent="0.15"/>
    <row r="81" s="161" customFormat="1" x14ac:dyDescent="0.15"/>
    <row r="82" s="161" customFormat="1" x14ac:dyDescent="0.15"/>
    <row r="83" s="161" customFormat="1" x14ac:dyDescent="0.15"/>
    <row r="84" s="161" customFormat="1" x14ac:dyDescent="0.15"/>
    <row r="85" s="161" customFormat="1" x14ac:dyDescent="0.15"/>
    <row r="86" s="161" customFormat="1" x14ac:dyDescent="0.15"/>
    <row r="87" s="161" customFormat="1" x14ac:dyDescent="0.15"/>
    <row r="88" s="161" customFormat="1" x14ac:dyDescent="0.15"/>
    <row r="89" s="161" customFormat="1" x14ac:dyDescent="0.15"/>
    <row r="90" s="161" customFormat="1" x14ac:dyDescent="0.15"/>
    <row r="91" s="161" customFormat="1" x14ac:dyDescent="0.15"/>
    <row r="92" s="161" customFormat="1" x14ac:dyDescent="0.15"/>
    <row r="93" s="161" customFormat="1" x14ac:dyDescent="0.15"/>
    <row r="94" s="161" customFormat="1" x14ac:dyDescent="0.15"/>
    <row r="95" s="161" customFormat="1" x14ac:dyDescent="0.15"/>
    <row r="96" s="161" customFormat="1" x14ac:dyDescent="0.15"/>
    <row r="97" s="161" customFormat="1" x14ac:dyDescent="0.15"/>
    <row r="98" s="161" customFormat="1" x14ac:dyDescent="0.15"/>
    <row r="99" s="161" customFormat="1" x14ac:dyDescent="0.15"/>
    <row r="100" s="161" customFormat="1" x14ac:dyDescent="0.15"/>
    <row r="101" s="161" customFormat="1" x14ac:dyDescent="0.15"/>
    <row r="102" s="161" customFormat="1" x14ac:dyDescent="0.15"/>
    <row r="103" s="161" customFormat="1" x14ac:dyDescent="0.15"/>
    <row r="104" s="161" customFormat="1" x14ac:dyDescent="0.15"/>
    <row r="105" s="161" customFormat="1" x14ac:dyDescent="0.15"/>
    <row r="106" s="161" customFormat="1" x14ac:dyDescent="0.15"/>
    <row r="107" s="161" customFormat="1" x14ac:dyDescent="0.15"/>
    <row r="108" s="161" customFormat="1" x14ac:dyDescent="0.15"/>
    <row r="109" s="161" customFormat="1" x14ac:dyDescent="0.15"/>
    <row r="110" s="161" customFormat="1" x14ac:dyDescent="0.15"/>
    <row r="111" s="161" customFormat="1" x14ac:dyDescent="0.15"/>
    <row r="112" s="161" customFormat="1" x14ac:dyDescent="0.15"/>
    <row r="113" s="161" customFormat="1" x14ac:dyDescent="0.15"/>
    <row r="114" s="161" customFormat="1" x14ac:dyDescent="0.15"/>
    <row r="115" s="161" customFormat="1" x14ac:dyDescent="0.15"/>
    <row r="116" s="161" customFormat="1" x14ac:dyDescent="0.15"/>
    <row r="117" s="161" customFormat="1" x14ac:dyDescent="0.15"/>
    <row r="118" s="161" customFormat="1" x14ac:dyDescent="0.15"/>
    <row r="119" s="161" customFormat="1" x14ac:dyDescent="0.15"/>
    <row r="120" s="161" customFormat="1" x14ac:dyDescent="0.15"/>
    <row r="121" s="161" customFormat="1" x14ac:dyDescent="0.15"/>
    <row r="122" s="161" customFormat="1" x14ac:dyDescent="0.15"/>
    <row r="123" s="161" customFormat="1" x14ac:dyDescent="0.15"/>
    <row r="124" s="161" customFormat="1" x14ac:dyDescent="0.15"/>
    <row r="125" s="161" customFormat="1" x14ac:dyDescent="0.15"/>
    <row r="126" s="161" customFormat="1" x14ac:dyDescent="0.15"/>
    <row r="127" s="161" customFormat="1" x14ac:dyDescent="0.15"/>
    <row r="128" s="161" customFormat="1" x14ac:dyDescent="0.15"/>
    <row r="129" s="161" customFormat="1" x14ac:dyDescent="0.15"/>
    <row r="130" s="161" customFormat="1" x14ac:dyDescent="0.15"/>
    <row r="131" s="161" customFormat="1" x14ac:dyDescent="0.15"/>
    <row r="132" s="161" customFormat="1" x14ac:dyDescent="0.15"/>
    <row r="133" s="161" customFormat="1" x14ac:dyDescent="0.15"/>
    <row r="134" s="161" customFormat="1" x14ac:dyDescent="0.15"/>
    <row r="135" s="161" customFormat="1" x14ac:dyDescent="0.15"/>
    <row r="136" s="161" customFormat="1" x14ac:dyDescent="0.15"/>
    <row r="137" s="161" customFormat="1" x14ac:dyDescent="0.15"/>
    <row r="138" s="161" customFormat="1" x14ac:dyDescent="0.15"/>
    <row r="139" s="161" customFormat="1" x14ac:dyDescent="0.15"/>
    <row r="140" s="161" customFormat="1" x14ac:dyDescent="0.15"/>
    <row r="141" s="161" customFormat="1" x14ac:dyDescent="0.15"/>
    <row r="142" s="161" customFormat="1" x14ac:dyDescent="0.15"/>
    <row r="143" s="161" customFormat="1" x14ac:dyDescent="0.15"/>
    <row r="144" s="161" customFormat="1" x14ac:dyDescent="0.15"/>
    <row r="145" s="161" customFormat="1" x14ac:dyDescent="0.15"/>
    <row r="146" s="161" customFormat="1" x14ac:dyDescent="0.15"/>
    <row r="147" s="161" customFormat="1" x14ac:dyDescent="0.15"/>
    <row r="148" s="161" customFormat="1" x14ac:dyDescent="0.15"/>
    <row r="149" s="161" customFormat="1" x14ac:dyDescent="0.15"/>
    <row r="150" s="161" customFormat="1" x14ac:dyDescent="0.15"/>
    <row r="151" s="161" customFormat="1" x14ac:dyDescent="0.15"/>
    <row r="152" s="161" customFormat="1" x14ac:dyDescent="0.15"/>
    <row r="153" s="161" customFormat="1" x14ac:dyDescent="0.15"/>
    <row r="154" s="161" customFormat="1" x14ac:dyDescent="0.15"/>
    <row r="155" s="161" customFormat="1" x14ac:dyDescent="0.15"/>
    <row r="156" s="161" customFormat="1" x14ac:dyDescent="0.15"/>
    <row r="157" s="161" customFormat="1" x14ac:dyDescent="0.15"/>
    <row r="158" s="161" customFormat="1" x14ac:dyDescent="0.15"/>
    <row r="159" s="161" customFormat="1" x14ac:dyDescent="0.15"/>
    <row r="160" s="161" customFormat="1" x14ac:dyDescent="0.15"/>
    <row r="161" s="161" customFormat="1" x14ac:dyDescent="0.15"/>
    <row r="162" s="161" customFormat="1" x14ac:dyDescent="0.15"/>
    <row r="163" s="161" customFormat="1" x14ac:dyDescent="0.15"/>
    <row r="164" s="161" customFormat="1" x14ac:dyDescent="0.15"/>
    <row r="165" s="161" customFormat="1" x14ac:dyDescent="0.15"/>
    <row r="166" s="161" customFormat="1" x14ac:dyDescent="0.15"/>
    <row r="167" s="161" customFormat="1" x14ac:dyDescent="0.15"/>
    <row r="168" s="161" customFormat="1" x14ac:dyDescent="0.15"/>
    <row r="169" s="161" customFormat="1" x14ac:dyDescent="0.15"/>
    <row r="170" s="161" customFormat="1" x14ac:dyDescent="0.15"/>
    <row r="171" s="161" customFormat="1" x14ac:dyDescent="0.15"/>
    <row r="172" s="161" customFormat="1" x14ac:dyDescent="0.15"/>
    <row r="173" s="161" customFormat="1" x14ac:dyDescent="0.15"/>
    <row r="174" s="161" customFormat="1" x14ac:dyDescent="0.15"/>
    <row r="175" s="161" customFormat="1" x14ac:dyDescent="0.15"/>
    <row r="176" s="161" customFormat="1" x14ac:dyDescent="0.15"/>
    <row r="177" s="161" customFormat="1" x14ac:dyDescent="0.15"/>
    <row r="178" s="161" customFormat="1" x14ac:dyDescent="0.15"/>
    <row r="179" s="161" customFormat="1" x14ac:dyDescent="0.15"/>
    <row r="180" s="161" customFormat="1" x14ac:dyDescent="0.15"/>
    <row r="181" s="161" customFormat="1" x14ac:dyDescent="0.15"/>
    <row r="182" s="161" customFormat="1" x14ac:dyDescent="0.15"/>
    <row r="183" s="161" customFormat="1" x14ac:dyDescent="0.15"/>
    <row r="184" s="161" customFormat="1" x14ac:dyDescent="0.15"/>
    <row r="185" s="161" customFormat="1" x14ac:dyDescent="0.15"/>
    <row r="186" s="161" customFormat="1" x14ac:dyDescent="0.15"/>
    <row r="187" s="161" customFormat="1" x14ac:dyDescent="0.15"/>
    <row r="188" s="161" customFormat="1" x14ac:dyDescent="0.15"/>
    <row r="189" s="161" customFormat="1" x14ac:dyDescent="0.15"/>
    <row r="190" s="161" customFormat="1" x14ac:dyDescent="0.15"/>
    <row r="191" s="161" customFormat="1" x14ac:dyDescent="0.15"/>
    <row r="192" s="161" customFormat="1" x14ac:dyDescent="0.15"/>
    <row r="193" s="161" customFormat="1" x14ac:dyDescent="0.15"/>
    <row r="194" s="161" customFormat="1" x14ac:dyDescent="0.15"/>
    <row r="195" s="161" customFormat="1" x14ac:dyDescent="0.15"/>
    <row r="196" s="161" customFormat="1" x14ac:dyDescent="0.15"/>
    <row r="197" s="161" customFormat="1" x14ac:dyDescent="0.15"/>
    <row r="198" s="161" customFormat="1" x14ac:dyDescent="0.15"/>
    <row r="199" s="161" customFormat="1" x14ac:dyDescent="0.15"/>
    <row r="200" s="161" customFormat="1" x14ac:dyDescent="0.15"/>
    <row r="201" s="161" customFormat="1" x14ac:dyDescent="0.15"/>
    <row r="202" s="161" customFormat="1" x14ac:dyDescent="0.15"/>
    <row r="203" s="161" customFormat="1" x14ac:dyDescent="0.15"/>
    <row r="204" s="161" customFormat="1" x14ac:dyDescent="0.15"/>
    <row r="205" s="161" customFormat="1" x14ac:dyDescent="0.15"/>
    <row r="206" s="161" customFormat="1" x14ac:dyDescent="0.15"/>
    <row r="207" s="161" customFormat="1" x14ac:dyDescent="0.15"/>
    <row r="208" s="161" customFormat="1" x14ac:dyDescent="0.15"/>
    <row r="209" s="161" customFormat="1" x14ac:dyDescent="0.15"/>
    <row r="210" s="161" customFormat="1" x14ac:dyDescent="0.15"/>
    <row r="211" s="161" customFormat="1" x14ac:dyDescent="0.15"/>
    <row r="212" s="161" customFormat="1" x14ac:dyDescent="0.15"/>
    <row r="213" s="161" customFormat="1" x14ac:dyDescent="0.15"/>
    <row r="214" s="161" customFormat="1" x14ac:dyDescent="0.15"/>
    <row r="215" s="161" customFormat="1" x14ac:dyDescent="0.15"/>
    <row r="216" s="161" customFormat="1" x14ac:dyDescent="0.15"/>
    <row r="217" s="161" customFormat="1" x14ac:dyDescent="0.15"/>
    <row r="218" s="161" customFormat="1" x14ac:dyDescent="0.15"/>
    <row r="219" s="161" customFormat="1" x14ac:dyDescent="0.15"/>
    <row r="220" s="161" customFormat="1" x14ac:dyDescent="0.15"/>
    <row r="221" s="161" customFormat="1" x14ac:dyDescent="0.15"/>
    <row r="222" s="161" customFormat="1" x14ac:dyDescent="0.15"/>
    <row r="223" s="161" customFormat="1" x14ac:dyDescent="0.15"/>
    <row r="224" s="161" customFormat="1" x14ac:dyDescent="0.15"/>
    <row r="225" s="161" customFormat="1" x14ac:dyDescent="0.15"/>
    <row r="226" s="161" customFormat="1" x14ac:dyDescent="0.15"/>
    <row r="227" s="161" customFormat="1" x14ac:dyDescent="0.15"/>
    <row r="228" s="161" customFormat="1" x14ac:dyDescent="0.15"/>
    <row r="229" s="161" customFormat="1" x14ac:dyDescent="0.15"/>
    <row r="230" s="161" customFormat="1" x14ac:dyDescent="0.15"/>
    <row r="231" s="161" customFormat="1" x14ac:dyDescent="0.15"/>
    <row r="232" s="161" customFormat="1" x14ac:dyDescent="0.15"/>
    <row r="233" s="161" customFormat="1" x14ac:dyDescent="0.15"/>
    <row r="234" s="161" customFormat="1" x14ac:dyDescent="0.15"/>
    <row r="235" s="161" customFormat="1" x14ac:dyDescent="0.15"/>
    <row r="236" s="161" customFormat="1" x14ac:dyDescent="0.15"/>
    <row r="237" s="161" customFormat="1" x14ac:dyDescent="0.15"/>
    <row r="238" s="161" customFormat="1" x14ac:dyDescent="0.15"/>
    <row r="239" s="161" customFormat="1" x14ac:dyDescent="0.15"/>
    <row r="240" s="161" customFormat="1" x14ac:dyDescent="0.15"/>
    <row r="241" s="161" customFormat="1" x14ac:dyDescent="0.15"/>
    <row r="242" s="161" customFormat="1" x14ac:dyDescent="0.15"/>
    <row r="243" s="161" customFormat="1" x14ac:dyDescent="0.15"/>
    <row r="244" s="161" customFormat="1" x14ac:dyDescent="0.15"/>
    <row r="245" s="161" customFormat="1" x14ac:dyDescent="0.15"/>
    <row r="246" s="161" customFormat="1" x14ac:dyDescent="0.15"/>
    <row r="247" s="161" customFormat="1" x14ac:dyDescent="0.15"/>
    <row r="248" s="161" customFormat="1" x14ac:dyDescent="0.15"/>
    <row r="249" s="161" customFormat="1" x14ac:dyDescent="0.15"/>
    <row r="250" s="161" customFormat="1" x14ac:dyDescent="0.15"/>
    <row r="251" s="161" customFormat="1" x14ac:dyDescent="0.15"/>
    <row r="252" s="161" customFormat="1" x14ac:dyDescent="0.15"/>
    <row r="253" s="161" customFormat="1" x14ac:dyDescent="0.15"/>
    <row r="254" s="161" customFormat="1" x14ac:dyDescent="0.15"/>
    <row r="255" s="161" customFormat="1" x14ac:dyDescent="0.15"/>
    <row r="256" s="161" customFormat="1" x14ac:dyDescent="0.15"/>
    <row r="257" s="161" customFormat="1" x14ac:dyDescent="0.15"/>
    <row r="258" s="161" customFormat="1" x14ac:dyDescent="0.15"/>
    <row r="259" s="161" customFormat="1" x14ac:dyDescent="0.15"/>
    <row r="260" s="161" customFormat="1" x14ac:dyDescent="0.15"/>
    <row r="261" s="161" customFormat="1" x14ac:dyDescent="0.15"/>
    <row r="262" s="161" customFormat="1" x14ac:dyDescent="0.15"/>
    <row r="263" s="161" customFormat="1" x14ac:dyDescent="0.15"/>
    <row r="264" s="161" customFormat="1" x14ac:dyDescent="0.15"/>
    <row r="265" s="161" customFormat="1" x14ac:dyDescent="0.15"/>
    <row r="266" s="161" customFormat="1" x14ac:dyDescent="0.15"/>
    <row r="267" s="161" customFormat="1" x14ac:dyDescent="0.15"/>
    <row r="268" s="161" customFormat="1" x14ac:dyDescent="0.15"/>
    <row r="269" s="161" customFormat="1" x14ac:dyDescent="0.15"/>
    <row r="270" s="161" customFormat="1" x14ac:dyDescent="0.15"/>
    <row r="271" s="161" customFormat="1" x14ac:dyDescent="0.15"/>
    <row r="272" s="161" customFormat="1" x14ac:dyDescent="0.15"/>
    <row r="273" s="161" customFormat="1" x14ac:dyDescent="0.15"/>
    <row r="274" s="161" customFormat="1" x14ac:dyDescent="0.15"/>
    <row r="275" s="161" customFormat="1" x14ac:dyDescent="0.15"/>
    <row r="276" s="161" customFormat="1" x14ac:dyDescent="0.15"/>
    <row r="277" s="161" customFormat="1" x14ac:dyDescent="0.15"/>
    <row r="278" s="161" customFormat="1" x14ac:dyDescent="0.15"/>
    <row r="279" s="161" customFormat="1" x14ac:dyDescent="0.15"/>
    <row r="280" s="161" customFormat="1" x14ac:dyDescent="0.15"/>
    <row r="281" s="161" customFormat="1" x14ac:dyDescent="0.15"/>
    <row r="282" s="161" customFormat="1" x14ac:dyDescent="0.15"/>
    <row r="283" s="161" customFormat="1" x14ac:dyDescent="0.15"/>
    <row r="284" s="161" customFormat="1" x14ac:dyDescent="0.15"/>
    <row r="285" s="161" customFormat="1" x14ac:dyDescent="0.15"/>
    <row r="286" s="161" customFormat="1" x14ac:dyDescent="0.15"/>
    <row r="287" s="161" customFormat="1" x14ac:dyDescent="0.15"/>
    <row r="288" s="161" customFormat="1" x14ac:dyDescent="0.15"/>
    <row r="289" s="161" customFormat="1" x14ac:dyDescent="0.15"/>
    <row r="290" s="161" customFormat="1" x14ac:dyDescent="0.15"/>
    <row r="291" s="161" customFormat="1" x14ac:dyDescent="0.15"/>
    <row r="292" s="161" customFormat="1" x14ac:dyDescent="0.15"/>
    <row r="293" s="161" customFormat="1" x14ac:dyDescent="0.15"/>
    <row r="294" s="161" customFormat="1" x14ac:dyDescent="0.15"/>
    <row r="295" s="161" customFormat="1" x14ac:dyDescent="0.15"/>
    <row r="296" s="161" customFormat="1" x14ac:dyDescent="0.15"/>
    <row r="297" s="161" customFormat="1" x14ac:dyDescent="0.15"/>
    <row r="298" s="161" customFormat="1" x14ac:dyDescent="0.15"/>
    <row r="299" s="161" customFormat="1" x14ac:dyDescent="0.15"/>
    <row r="300" s="161" customFormat="1" x14ac:dyDescent="0.15"/>
    <row r="301" s="161" customFormat="1" x14ac:dyDescent="0.15"/>
    <row r="302" s="161" customFormat="1" x14ac:dyDescent="0.15"/>
    <row r="303" s="161" customFormat="1" x14ac:dyDescent="0.15"/>
    <row r="304" s="161" customFormat="1" x14ac:dyDescent="0.15"/>
    <row r="305" s="161" customFormat="1" x14ac:dyDescent="0.15"/>
    <row r="306" s="161" customFormat="1" x14ac:dyDescent="0.15"/>
    <row r="307" s="161" customFormat="1" x14ac:dyDescent="0.15"/>
    <row r="308" s="161" customFormat="1" x14ac:dyDescent="0.15"/>
    <row r="309" s="161" customFormat="1" x14ac:dyDescent="0.15"/>
    <row r="310" s="161" customFormat="1" x14ac:dyDescent="0.15"/>
    <row r="311" s="161" customFormat="1" x14ac:dyDescent="0.15"/>
    <row r="312" s="161" customFormat="1" x14ac:dyDescent="0.15"/>
    <row r="313" s="161" customFormat="1" x14ac:dyDescent="0.15"/>
    <row r="314" s="161" customFormat="1" x14ac:dyDescent="0.15"/>
    <row r="315" s="161" customFormat="1" x14ac:dyDescent="0.15"/>
    <row r="316" s="161" customFormat="1" x14ac:dyDescent="0.15"/>
    <row r="317" s="161" customFormat="1" x14ac:dyDescent="0.15"/>
    <row r="318" s="161" customFormat="1" x14ac:dyDescent="0.15"/>
    <row r="319" s="161" customFormat="1" x14ac:dyDescent="0.15"/>
    <row r="320" s="161" customFormat="1" x14ac:dyDescent="0.15"/>
    <row r="321" s="161" customFormat="1" x14ac:dyDescent="0.15"/>
    <row r="322" s="161" customFormat="1" x14ac:dyDescent="0.15"/>
    <row r="323" s="161" customFormat="1" x14ac:dyDescent="0.15"/>
    <row r="324" s="161" customFormat="1" x14ac:dyDescent="0.15"/>
    <row r="325" s="161" customFormat="1" x14ac:dyDescent="0.15"/>
    <row r="326" s="161" customFormat="1" x14ac:dyDescent="0.15"/>
    <row r="327" s="161" customFormat="1" x14ac:dyDescent="0.15"/>
    <row r="328" s="161" customFormat="1" x14ac:dyDescent="0.15"/>
    <row r="329" s="161" customFormat="1" x14ac:dyDescent="0.15"/>
    <row r="330" s="161" customFormat="1" x14ac:dyDescent="0.15"/>
    <row r="331" s="161" customFormat="1" x14ac:dyDescent="0.15"/>
    <row r="332" s="161" customFormat="1" x14ac:dyDescent="0.15"/>
    <row r="333" s="161" customFormat="1" x14ac:dyDescent="0.15"/>
    <row r="334" s="161" customFormat="1" x14ac:dyDescent="0.15"/>
    <row r="335" s="161" customFormat="1" x14ac:dyDescent="0.15"/>
    <row r="336" s="161" customFormat="1" x14ac:dyDescent="0.15"/>
    <row r="337" s="161" customFormat="1" x14ac:dyDescent="0.15"/>
    <row r="338" s="161" customFormat="1" x14ac:dyDescent="0.15"/>
    <row r="339" s="161" customFormat="1" x14ac:dyDescent="0.15"/>
    <row r="340" s="161" customFormat="1" x14ac:dyDescent="0.15"/>
    <row r="341" s="161" customFormat="1" x14ac:dyDescent="0.15"/>
    <row r="342" s="161" customFormat="1" x14ac:dyDescent="0.15"/>
    <row r="343" s="161" customFormat="1" x14ac:dyDescent="0.15"/>
    <row r="344" s="161" customFormat="1" x14ac:dyDescent="0.15"/>
    <row r="345" s="161" customFormat="1" x14ac:dyDescent="0.15"/>
    <row r="346" s="161" customFormat="1" x14ac:dyDescent="0.15"/>
    <row r="347" s="161" customFormat="1" x14ac:dyDescent="0.15"/>
    <row r="348" s="161" customFormat="1" x14ac:dyDescent="0.15"/>
    <row r="349" s="161" customFormat="1" x14ac:dyDescent="0.15"/>
    <row r="350" s="161" customFormat="1" x14ac:dyDescent="0.15"/>
    <row r="351" s="161" customFormat="1" x14ac:dyDescent="0.15"/>
    <row r="352" s="161" customFormat="1" x14ac:dyDescent="0.15"/>
    <row r="353" s="161" customFormat="1" x14ac:dyDescent="0.15"/>
    <row r="354" s="161" customFormat="1" x14ac:dyDescent="0.15"/>
    <row r="355" s="161" customFormat="1" x14ac:dyDescent="0.15"/>
    <row r="356" s="161" customFormat="1" x14ac:dyDescent="0.15"/>
    <row r="357" s="161" customFormat="1" x14ac:dyDescent="0.15"/>
    <row r="358" s="161" customFormat="1" x14ac:dyDescent="0.15"/>
    <row r="359" s="161" customFormat="1" x14ac:dyDescent="0.15"/>
    <row r="360" s="161" customFormat="1" x14ac:dyDescent="0.15"/>
    <row r="361" s="161" customFormat="1" x14ac:dyDescent="0.15"/>
    <row r="362" s="161" customFormat="1" x14ac:dyDescent="0.15"/>
    <row r="363" s="161" customFormat="1" x14ac:dyDescent="0.15"/>
    <row r="364" s="161" customFormat="1" x14ac:dyDescent="0.15"/>
    <row r="365" s="161" customFormat="1" x14ac:dyDescent="0.15"/>
    <row r="366" s="161" customFormat="1" x14ac:dyDescent="0.15"/>
    <row r="367" s="161" customFormat="1" x14ac:dyDescent="0.15"/>
    <row r="368" s="161" customFormat="1" x14ac:dyDescent="0.15"/>
    <row r="369" s="161" customFormat="1" x14ac:dyDescent="0.15"/>
    <row r="370" s="161" customFormat="1" x14ac:dyDescent="0.15"/>
    <row r="371" s="161" customFormat="1" x14ac:dyDescent="0.15"/>
    <row r="372" s="161" customFormat="1" x14ac:dyDescent="0.15"/>
    <row r="373" s="161" customFormat="1" x14ac:dyDescent="0.15"/>
    <row r="374" s="161" customFormat="1" x14ac:dyDescent="0.15"/>
    <row r="375" s="161" customFormat="1" x14ac:dyDescent="0.15"/>
    <row r="376" s="161" customFormat="1" x14ac:dyDescent="0.15"/>
    <row r="377" s="161" customFormat="1" x14ac:dyDescent="0.15"/>
    <row r="378" s="161" customFormat="1" x14ac:dyDescent="0.15"/>
    <row r="379" s="161" customFormat="1" x14ac:dyDescent="0.15"/>
    <row r="380" s="161" customFormat="1" x14ac:dyDescent="0.15"/>
    <row r="381" s="161" customFormat="1" x14ac:dyDescent="0.15"/>
    <row r="382" s="161" customFormat="1" x14ac:dyDescent="0.15"/>
    <row r="383" s="161" customFormat="1" x14ac:dyDescent="0.15"/>
    <row r="384" s="161" customFormat="1" x14ac:dyDescent="0.15"/>
    <row r="385" s="161" customFormat="1" x14ac:dyDescent="0.15"/>
    <row r="386" s="161" customFormat="1" x14ac:dyDescent="0.15"/>
    <row r="387" s="161" customFormat="1" x14ac:dyDescent="0.15"/>
    <row r="388" s="161" customFormat="1" x14ac:dyDescent="0.15"/>
    <row r="389" s="161" customFormat="1" x14ac:dyDescent="0.15"/>
    <row r="390" s="161" customFormat="1" x14ac:dyDescent="0.15"/>
    <row r="391" s="161" customFormat="1" x14ac:dyDescent="0.15"/>
    <row r="392" s="161" customFormat="1" x14ac:dyDescent="0.15"/>
    <row r="393" s="161" customFormat="1" x14ac:dyDescent="0.15"/>
    <row r="394" s="161" customFormat="1" x14ac:dyDescent="0.15"/>
    <row r="395" s="161" customFormat="1" x14ac:dyDescent="0.15"/>
    <row r="396" s="161" customFormat="1" x14ac:dyDescent="0.15"/>
    <row r="397" s="161" customFormat="1" x14ac:dyDescent="0.15"/>
    <row r="398" s="161" customFormat="1" x14ac:dyDescent="0.15"/>
    <row r="399" s="161" customFormat="1" x14ac:dyDescent="0.15"/>
    <row r="400" s="161" customFormat="1" x14ac:dyDescent="0.15"/>
    <row r="401" s="161" customFormat="1" x14ac:dyDescent="0.15"/>
    <row r="402" s="161" customFormat="1" x14ac:dyDescent="0.15"/>
    <row r="403" s="161" customFormat="1" x14ac:dyDescent="0.15"/>
    <row r="404" s="161" customFormat="1" x14ac:dyDescent="0.15"/>
    <row r="405" s="161" customFormat="1" x14ac:dyDescent="0.15"/>
    <row r="406" s="161" customFormat="1" x14ac:dyDescent="0.15"/>
    <row r="407" s="161" customFormat="1" x14ac:dyDescent="0.15"/>
    <row r="408" s="161" customFormat="1" x14ac:dyDescent="0.15"/>
    <row r="409" s="161" customFormat="1" x14ac:dyDescent="0.15"/>
    <row r="410" s="161" customFormat="1" x14ac:dyDescent="0.15"/>
    <row r="411" s="161" customFormat="1" x14ac:dyDescent="0.15"/>
    <row r="412" s="161" customFormat="1" x14ac:dyDescent="0.15"/>
    <row r="413" s="161" customFormat="1" x14ac:dyDescent="0.15"/>
    <row r="414" s="161" customFormat="1" x14ac:dyDescent="0.15"/>
    <row r="415" s="161" customFormat="1" x14ac:dyDescent="0.15"/>
    <row r="416" s="161" customFormat="1" x14ac:dyDescent="0.15"/>
    <row r="417" s="161" customFormat="1" x14ac:dyDescent="0.15"/>
    <row r="418" s="161" customFormat="1" x14ac:dyDescent="0.15"/>
    <row r="419" s="161" customFormat="1" x14ac:dyDescent="0.15"/>
    <row r="420" s="161" customFormat="1" x14ac:dyDescent="0.15"/>
    <row r="421" s="161" customFormat="1" x14ac:dyDescent="0.15"/>
    <row r="422" s="161" customFormat="1" x14ac:dyDescent="0.15"/>
    <row r="423" s="161" customFormat="1" x14ac:dyDescent="0.15"/>
    <row r="424" s="161" customFormat="1" x14ac:dyDescent="0.15"/>
    <row r="425" s="161" customFormat="1" x14ac:dyDescent="0.15"/>
    <row r="426" s="161" customFormat="1" x14ac:dyDescent="0.15"/>
    <row r="427" s="161" customFormat="1" x14ac:dyDescent="0.15"/>
    <row r="428" s="161" customFormat="1" x14ac:dyDescent="0.15"/>
    <row r="429" s="161" customFormat="1" x14ac:dyDescent="0.15"/>
    <row r="430" s="161" customFormat="1" x14ac:dyDescent="0.15"/>
    <row r="431" s="161" customFormat="1" x14ac:dyDescent="0.15"/>
    <row r="432" s="161" customFormat="1" x14ac:dyDescent="0.15"/>
    <row r="433" s="161" customFormat="1" x14ac:dyDescent="0.15"/>
    <row r="434" s="161" customFormat="1" x14ac:dyDescent="0.15"/>
    <row r="435" s="161" customFormat="1" x14ac:dyDescent="0.15"/>
    <row r="436" s="161" customFormat="1" x14ac:dyDescent="0.15"/>
    <row r="437" s="161" customFormat="1" x14ac:dyDescent="0.15"/>
    <row r="438" s="161" customFormat="1" x14ac:dyDescent="0.15"/>
    <row r="439" s="161" customFormat="1" x14ac:dyDescent="0.15"/>
    <row r="440" s="161" customFormat="1" x14ac:dyDescent="0.15"/>
    <row r="441" s="161" customFormat="1" x14ac:dyDescent="0.15"/>
    <row r="442" s="161" customFormat="1" x14ac:dyDescent="0.15"/>
    <row r="443" s="161" customFormat="1" x14ac:dyDescent="0.15"/>
    <row r="444" s="161" customFormat="1" x14ac:dyDescent="0.15"/>
    <row r="445" s="161" customFormat="1" x14ac:dyDescent="0.15"/>
    <row r="446" s="161" customFormat="1" x14ac:dyDescent="0.15"/>
    <row r="447" s="161" customFormat="1" x14ac:dyDescent="0.15"/>
    <row r="448" s="161" customFormat="1" x14ac:dyDescent="0.15"/>
    <row r="449" s="161" customFormat="1" x14ac:dyDescent="0.15"/>
    <row r="450" s="161" customFormat="1" x14ac:dyDescent="0.15"/>
    <row r="451" s="161" customFormat="1" x14ac:dyDescent="0.15"/>
    <row r="452" s="161" customFormat="1" x14ac:dyDescent="0.15"/>
    <row r="453" s="161" customFormat="1" x14ac:dyDescent="0.15"/>
    <row r="454" s="161" customFormat="1" x14ac:dyDescent="0.15"/>
    <row r="455" s="161" customFormat="1" x14ac:dyDescent="0.15"/>
    <row r="456" s="161" customFormat="1" x14ac:dyDescent="0.15"/>
    <row r="457" s="161" customFormat="1" x14ac:dyDescent="0.15"/>
    <row r="458" s="161" customFormat="1" x14ac:dyDescent="0.15"/>
    <row r="459" s="161" customFormat="1" x14ac:dyDescent="0.15"/>
    <row r="460" s="161" customFormat="1" x14ac:dyDescent="0.15"/>
    <row r="461" s="161" customFormat="1" x14ac:dyDescent="0.15"/>
    <row r="462" s="161" customFormat="1" x14ac:dyDescent="0.15"/>
    <row r="463" s="161" customFormat="1" x14ac:dyDescent="0.15"/>
    <row r="464" s="161" customFormat="1" x14ac:dyDescent="0.15"/>
    <row r="465" s="161" customFormat="1" x14ac:dyDescent="0.15"/>
    <row r="466" s="161" customFormat="1" x14ac:dyDescent="0.15"/>
    <row r="467" s="161" customFormat="1" x14ac:dyDescent="0.15"/>
    <row r="468" s="161" customFormat="1" x14ac:dyDescent="0.15"/>
    <row r="469" s="161" customFormat="1" x14ac:dyDescent="0.15"/>
    <row r="470" s="161" customFormat="1" x14ac:dyDescent="0.15"/>
    <row r="471" s="161" customFormat="1" x14ac:dyDescent="0.15"/>
    <row r="472" s="161" customFormat="1" x14ac:dyDescent="0.15"/>
    <row r="473" s="161" customFormat="1" x14ac:dyDescent="0.15"/>
    <row r="474" s="161" customFormat="1" x14ac:dyDescent="0.15"/>
    <row r="475" s="161" customFormat="1" x14ac:dyDescent="0.15"/>
    <row r="476" s="161" customFormat="1" x14ac:dyDescent="0.15"/>
    <row r="477" s="161" customFormat="1" x14ac:dyDescent="0.15"/>
    <row r="478" s="161" customFormat="1" x14ac:dyDescent="0.15"/>
    <row r="479" s="161" customFormat="1" x14ac:dyDescent="0.15"/>
    <row r="480" s="161" customFormat="1" x14ac:dyDescent="0.15"/>
    <row r="481" s="161" customFormat="1" x14ac:dyDescent="0.15"/>
    <row r="482" s="161" customFormat="1" x14ac:dyDescent="0.15"/>
    <row r="483" s="161" customFormat="1" x14ac:dyDescent="0.15"/>
    <row r="484" s="161" customFormat="1" x14ac:dyDescent="0.15"/>
    <row r="485" s="161" customFormat="1" x14ac:dyDescent="0.15"/>
    <row r="486" s="161" customFormat="1" x14ac:dyDescent="0.15"/>
    <row r="487" s="161" customFormat="1" x14ac:dyDescent="0.15"/>
    <row r="488" s="161" customFormat="1" x14ac:dyDescent="0.15"/>
    <row r="489" s="161" customFormat="1" x14ac:dyDescent="0.15"/>
    <row r="490" s="161" customFormat="1" x14ac:dyDescent="0.15"/>
    <row r="491" s="161" customFormat="1" x14ac:dyDescent="0.15"/>
    <row r="492" s="161" customFormat="1" x14ac:dyDescent="0.15"/>
    <row r="493" s="161" customFormat="1" x14ac:dyDescent="0.15"/>
    <row r="494" s="161" customFormat="1" x14ac:dyDescent="0.15"/>
    <row r="495" s="161" customFormat="1" x14ac:dyDescent="0.15"/>
    <row r="496" s="161" customFormat="1" x14ac:dyDescent="0.15"/>
    <row r="497" s="161" customFormat="1" x14ac:dyDescent="0.15"/>
    <row r="498" s="161" customFormat="1" x14ac:dyDescent="0.15"/>
    <row r="499" s="161" customFormat="1" x14ac:dyDescent="0.15"/>
    <row r="500" s="161" customFormat="1" x14ac:dyDescent="0.15"/>
  </sheetData>
  <mergeCells count="3">
    <mergeCell ref="A14:K14"/>
    <mergeCell ref="A15:K15"/>
    <mergeCell ref="D16:H16"/>
  </mergeCells>
  <hyperlinks>
    <hyperlink ref="D16:H16" location="'Your Project'!A1" display="'Your Project'!A1" xr:uid="{DF6BCFAC-EBDD-4379-96ED-FBCADCF6909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02720-D1EC-4A0F-8727-260D4B4AC134}">
  <sheetPr codeName="Sheet2">
    <tabColor theme="5" tint="-0.249977111117893"/>
  </sheetPr>
  <dimension ref="B1:N17"/>
  <sheetViews>
    <sheetView showGridLines="0" zoomScaleNormal="100" workbookViewId="0">
      <pane ySplit="5" topLeftCell="A6" activePane="bottomLeft" state="frozen"/>
      <selection pane="bottomLeft" activeCell="B10" sqref="B10"/>
    </sheetView>
  </sheetViews>
  <sheetFormatPr baseColWidth="10" defaultColWidth="17.6640625" defaultRowHeight="15" customHeight="1" x14ac:dyDescent="0.15"/>
  <cols>
    <col min="1" max="1" width="3.6640625" style="4" customWidth="1"/>
    <col min="2" max="2" width="17.6640625" style="4"/>
    <col min="3" max="3" width="3.6640625" style="4" customWidth="1"/>
    <col min="4" max="4" width="17.6640625" style="4"/>
    <col min="5" max="5" width="3.6640625" style="4" customWidth="1"/>
    <col min="6" max="6" width="17.6640625" style="4"/>
    <col min="7" max="7" width="3.6640625" style="4" customWidth="1"/>
    <col min="8" max="8" width="17.6640625" style="4"/>
    <col min="9" max="9" width="3.6640625" style="4" customWidth="1"/>
    <col min="10" max="10" width="17.6640625" style="4"/>
    <col min="11" max="11" width="3.6640625" style="4" customWidth="1"/>
    <col min="12" max="12" width="17.6640625" style="4"/>
    <col min="13" max="13" width="3.6640625" style="4" customWidth="1"/>
    <col min="14" max="16384" width="17.6640625" style="4"/>
  </cols>
  <sheetData>
    <row r="1" spans="2:14" s="34" customFormat="1" ht="30" customHeight="1" x14ac:dyDescent="0.15">
      <c r="B1" s="33" t="s">
        <v>215</v>
      </c>
    </row>
    <row r="2" spans="2:14" s="35" customFormat="1" ht="15" customHeight="1" x14ac:dyDescent="0.15">
      <c r="B2" s="35" t="s">
        <v>126</v>
      </c>
    </row>
    <row r="3" spans="2:14" ht="10" customHeight="1" x14ac:dyDescent="0.15">
      <c r="B3" s="38"/>
    </row>
    <row r="4" spans="2:14" s="179" customFormat="1" ht="15" customHeight="1" x14ac:dyDescent="0.15">
      <c r="B4" s="164" t="s">
        <v>131</v>
      </c>
      <c r="C4" s="177"/>
      <c r="D4" s="178" t="s">
        <v>217</v>
      </c>
      <c r="E4" s="177"/>
      <c r="F4" s="178" t="s">
        <v>135</v>
      </c>
      <c r="H4" s="166" t="s">
        <v>136</v>
      </c>
      <c r="J4" s="166" t="s">
        <v>137</v>
      </c>
      <c r="L4" s="170" t="str">
        <f>IF('Hidden_Lists Base'!C35='Hidden_Lists Base'!D35,"Next Page","")</f>
        <v/>
      </c>
    </row>
    <row r="5" spans="2:14" s="88" customFormat="1" ht="20" customHeight="1" x14ac:dyDescent="0.15"/>
    <row r="6" spans="2:14" s="31" customFormat="1" ht="15" customHeight="1" x14ac:dyDescent="0.15">
      <c r="B6" s="30" t="s">
        <v>115</v>
      </c>
    </row>
    <row r="7" spans="2:14" ht="15" customHeight="1" x14ac:dyDescent="0.15">
      <c r="B7" s="32" t="s">
        <v>116</v>
      </c>
    </row>
    <row r="9" spans="2:14" s="3" customFormat="1" ht="40" customHeight="1" x14ac:dyDescent="0.15">
      <c r="B9" s="36" t="str">
        <f>'Hidden_Lists Base'!A5</f>
        <v>1. What are you buying?</v>
      </c>
      <c r="C9" s="6"/>
      <c r="D9" s="36" t="str">
        <f>'Hidden_Lists Base'!A12</f>
        <v>2. Project Purpose</v>
      </c>
      <c r="E9" s="6"/>
      <c r="F9" s="36" t="str">
        <f>'Hidden_Lists Base'!A17</f>
        <v>3. What is the type of your purchase?</v>
      </c>
      <c r="H9" s="3" t="str">
        <f>IF(F10='Hidden_Lists Base'!$A$20,'Hidden_Lists Base'!C17,"")</f>
        <v/>
      </c>
      <c r="J9" s="3" t="str">
        <f>IF(F10='Hidden_Lists Base'!$A$20,'Hidden_Lists Base'!D17,"")</f>
        <v/>
      </c>
      <c r="L9" s="3" t="str">
        <f>IF(J9="","",IF(J10='Hidden_Lists Base'!$D$19,'Hidden_Lists Base'!E17,'Hidden_Lists Base'!F17))</f>
        <v/>
      </c>
    </row>
    <row r="10" spans="2:14" s="3" customFormat="1" ht="20" customHeight="1" x14ac:dyDescent="0.15">
      <c r="B10" s="171"/>
      <c r="D10" s="171"/>
      <c r="F10" s="171"/>
      <c r="H10" s="172"/>
      <c r="J10" s="172"/>
      <c r="L10" s="173"/>
    </row>
    <row r="11" spans="2:14" s="3" customFormat="1" ht="25" customHeight="1" x14ac:dyDescent="0.15">
      <c r="B11" s="37" t="str">
        <f>IF(AND(B10="construction lot",F10="under VAT regime"),"Warning! Construction lot cannot be under VAT regime, please make the necessary adjustment before continuing","")</f>
        <v/>
      </c>
    </row>
    <row r="12" spans="2:14" s="31" customFormat="1" ht="15" customHeight="1" x14ac:dyDescent="0.15">
      <c r="B12" s="30" t="s">
        <v>129</v>
      </c>
    </row>
    <row r="13" spans="2:14" ht="15" customHeight="1" x14ac:dyDescent="0.15">
      <c r="B13" s="32" t="s">
        <v>130</v>
      </c>
    </row>
    <row r="14" spans="2:14" ht="15" customHeight="1" x14ac:dyDescent="0.15">
      <c r="J14" s="168" t="str">
        <f>IF(OR(J15="",J15=" "),"","Taxes Information:")</f>
        <v/>
      </c>
    </row>
    <row r="15" spans="2:14" ht="40" customHeight="1" x14ac:dyDescent="0.15">
      <c r="B15" s="36" t="str">
        <f>'Hidden_Lists Base'!A24</f>
        <v>4. Where is your project alocated?</v>
      </c>
      <c r="D15" s="36" t="s">
        <v>228</v>
      </c>
      <c r="F15" s="229" t="str">
        <f>'Hidden_Lists Base'!A27</f>
        <v>6. Taxation Applicable</v>
      </c>
      <c r="G15" s="229"/>
      <c r="H15" s="229"/>
      <c r="J15" s="231" t="str">
        <f>IF(IF(F16="","",_xlfn.XLOOKUP(F16,'Hidden_Lists Base'!F24:F33,'Hidden_Lists Base'!G24:G33,""))=0,"",IF(F16="","",_xlfn.XLOOKUP(F16,'Hidden_Lists Base'!F24:F33,'Hidden_Lists Base'!G24:G33,"")))</f>
        <v/>
      </c>
      <c r="K15" s="231"/>
      <c r="L15" s="231"/>
      <c r="M15" s="231"/>
      <c r="N15" s="231"/>
    </row>
    <row r="16" spans="2:14" ht="20" customHeight="1" x14ac:dyDescent="0.15">
      <c r="B16" s="174"/>
      <c r="D16" s="175"/>
      <c r="F16" s="230"/>
      <c r="G16" s="230"/>
      <c r="H16" s="230"/>
      <c r="J16" s="231"/>
      <c r="K16" s="231"/>
      <c r="L16" s="231"/>
      <c r="M16" s="231"/>
      <c r="N16" s="231"/>
    </row>
    <row r="17" spans="2:2" ht="25" customHeight="1" x14ac:dyDescent="0.15">
      <c r="B17" s="39" t="str">
        <f>IF(L4&lt;&gt;"","","Note: Fill all information before continuing")</f>
        <v>Note: Fill all information before continuing</v>
      </c>
    </row>
  </sheetData>
  <sheetProtection sheet="1" objects="1" scenarios="1" selectLockedCells="1"/>
  <mergeCells count="3">
    <mergeCell ref="F15:H15"/>
    <mergeCell ref="F16:H16"/>
    <mergeCell ref="J15:N16"/>
  </mergeCells>
  <conditionalFormatting sqref="H9 J9 L9">
    <cfRule type="notContainsBlanks" dxfId="53" priority="12">
      <formula>LEN(TRIM(H9))&gt;0</formula>
    </cfRule>
  </conditionalFormatting>
  <conditionalFormatting sqref="H10">
    <cfRule type="expression" dxfId="52" priority="8">
      <formula>$H$9&lt;&gt;""</formula>
    </cfRule>
  </conditionalFormatting>
  <conditionalFormatting sqref="J10 L10">
    <cfRule type="expression" dxfId="51" priority="7">
      <formula>$J$9&lt;&gt;""</formula>
    </cfRule>
  </conditionalFormatting>
  <conditionalFormatting sqref="F10">
    <cfRule type="containsText" dxfId="50" priority="4" operator="containsText" text="regime">
      <formula>NOT(ISERROR(SEARCH("regime",F10)))</formula>
    </cfRule>
  </conditionalFormatting>
  <conditionalFormatting sqref="L4">
    <cfRule type="notContainsBlanks" dxfId="49" priority="14">
      <formula>LEN(TRIM(L4))&gt;0</formula>
    </cfRule>
  </conditionalFormatting>
  <conditionalFormatting sqref="J15:N16">
    <cfRule type="notContainsBlanks" dxfId="48" priority="1">
      <formula>LEN(TRIM(J15))&gt;0</formula>
    </cfRule>
  </conditionalFormatting>
  <dataValidations count="3">
    <dataValidation type="list" allowBlank="1" showInputMessage="1" showErrorMessage="1" sqref="B10" xr:uid="{FDD93ECA-06D0-43CB-BD50-1C02E2FF27CB}">
      <formula1>What_are_you_buying?</formula1>
    </dataValidation>
    <dataValidation type="whole" operator="greaterThanOrEqual" allowBlank="1" showInputMessage="1" showErrorMessage="1" errorTitle="Price Below Minimum" error="Please note that we do not offer a loan to a purchase inferior to 15.000,00" sqref="D16" xr:uid="{B480D4F2-2EF6-4025-865E-6971888833DF}">
      <formula1>15000</formula1>
    </dataValidation>
    <dataValidation type="list" allowBlank="1" showInputMessage="1" showErrorMessage="1" sqref="H10" xr:uid="{B5DF1D21-603E-4924-B681-99F293E0428B}">
      <formula1>INDIRECT(Ref_Q3a)</formula1>
    </dataValidation>
  </dataValidations>
  <hyperlinks>
    <hyperlink ref="L4" location="'Add Ins'!A1" display="Next Page" xr:uid="{66A3FA74-9274-42D6-B9D7-5F087D1FDBBD}"/>
  </hyperlinks>
  <pageMargins left="0.51181102362204722" right="0.51181102362204722" top="0.74803149606299213" bottom="0.74803149606299213" header="0.31496062992125984" footer="0.31496062992125984"/>
  <pageSetup paperSize="9" orientation="landscape" horizontalDpi="360" verticalDpi="36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38718865-C760-4B37-970F-B60352781FCB}">
          <x14:formula1>
            <xm:f>'Hidden_Lists Base'!$A$13:$A$15</xm:f>
          </x14:formula1>
          <xm:sqref>D10</xm:sqref>
        </x14:dataValidation>
        <x14:dataValidation type="list" allowBlank="1" showInputMessage="1" showErrorMessage="1" xr:uid="{2A997DFA-9FFD-414D-B006-05D4AA05C794}">
          <x14:formula1>
            <xm:f>'Hidden_Lists Base'!$A$25:$C$25</xm:f>
          </x14:formula1>
          <xm:sqref>B16</xm:sqref>
        </x14:dataValidation>
        <x14:dataValidation type="list" allowBlank="1" showInputMessage="1" showErrorMessage="1" xr:uid="{880381EE-9EEA-4431-9048-430943C73ECF}">
          <x14:formula1>
            <xm:f>INDIRECT('Hidden_Lists Base'!$A$22)</xm:f>
          </x14:formula1>
          <xm:sqref>F10</xm:sqref>
        </x14:dataValidation>
        <x14:dataValidation type="list" allowBlank="1" showInputMessage="1" showErrorMessage="1" xr:uid="{54C0BD8E-96BD-409D-A4CC-2C3C662233AE}">
          <x14:formula1>
            <xm:f>INDIRECT('Hidden_Lists Base'!$D$22)</xm:f>
          </x14:formula1>
          <xm:sqref>J10</xm:sqref>
        </x14:dataValidation>
        <x14:dataValidation type="list" allowBlank="1" showInputMessage="1" showErrorMessage="1" xr:uid="{38706C21-F48F-4834-B791-A3D178F16270}">
          <x14:formula1>
            <xm:f>INDIRECT('Hidden_Lists Base'!$A$32)</xm:f>
          </x14:formula1>
          <xm:sqref>F16:H16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0485F-4081-41E6-9C0A-2E34075ACEB3}">
  <sheetPr codeName="Sheet3">
    <tabColor theme="5" tint="0.39997558519241921"/>
  </sheetPr>
  <dimension ref="B1:N18"/>
  <sheetViews>
    <sheetView showGridLines="0" zoomScaleNormal="100" workbookViewId="0">
      <pane ySplit="5" topLeftCell="A6" activePane="bottomLeft" state="frozen"/>
      <selection pane="bottomLeft" activeCell="B10" sqref="B10"/>
    </sheetView>
  </sheetViews>
  <sheetFormatPr baseColWidth="10" defaultColWidth="17.6640625" defaultRowHeight="15" customHeight="1" x14ac:dyDescent="0.15"/>
  <cols>
    <col min="1" max="1" width="3.6640625" style="4" customWidth="1"/>
    <col min="2" max="2" width="17.6640625" style="4"/>
    <col min="3" max="3" width="3.6640625" style="4" customWidth="1"/>
    <col min="4" max="4" width="17.6640625" style="4"/>
    <col min="5" max="5" width="3.6640625" style="4" customWidth="1"/>
    <col min="6" max="6" width="17.6640625" style="4"/>
    <col min="7" max="7" width="3.6640625" style="4" customWidth="1"/>
    <col min="8" max="8" width="17.6640625" style="4"/>
    <col min="9" max="9" width="3.6640625" style="4" customWidth="1"/>
    <col min="10" max="10" width="17.6640625" style="4"/>
    <col min="11" max="11" width="3.6640625" style="4" customWidth="1"/>
    <col min="12" max="12" width="17.6640625" style="4"/>
    <col min="13" max="13" width="3.6640625" style="4" customWidth="1"/>
    <col min="14" max="16384" width="17.6640625" style="4"/>
  </cols>
  <sheetData>
    <row r="1" spans="2:14" s="34" customFormat="1" ht="30" customHeight="1" x14ac:dyDescent="0.15">
      <c r="B1" s="33" t="s">
        <v>215</v>
      </c>
    </row>
    <row r="2" spans="2:14" s="35" customFormat="1" ht="15" customHeight="1" x14ac:dyDescent="0.15">
      <c r="B2" s="35" t="s">
        <v>126</v>
      </c>
    </row>
    <row r="3" spans="2:14" ht="10" customHeight="1" x14ac:dyDescent="0.15">
      <c r="B3" s="38"/>
    </row>
    <row r="4" spans="2:14" ht="15" customHeight="1" x14ac:dyDescent="0.15">
      <c r="B4" s="183" t="s">
        <v>131</v>
      </c>
      <c r="C4" s="11"/>
      <c r="D4" s="164" t="s">
        <v>134</v>
      </c>
      <c r="E4" s="11"/>
      <c r="F4" s="166" t="s">
        <v>135</v>
      </c>
      <c r="H4" s="166" t="s">
        <v>136</v>
      </c>
      <c r="J4" s="166" t="s">
        <v>137</v>
      </c>
      <c r="L4" s="170" t="str">
        <f>IF(AND('Hidden_Lists Base'!C43='Hidden_Lists Base'!D43,N9=""),"Next Page","")</f>
        <v/>
      </c>
    </row>
    <row r="5" spans="2:14" s="88" customFormat="1" ht="20" customHeight="1" x14ac:dyDescent="0.15">
      <c r="B5" s="88" t="str">
        <f>IF('Your Project'!L4="Next Page","","Not Complete")</f>
        <v>Not Complete</v>
      </c>
    </row>
    <row r="6" spans="2:14" s="31" customFormat="1" ht="15" customHeight="1" x14ac:dyDescent="0.15">
      <c r="B6" s="30" t="s">
        <v>141</v>
      </c>
    </row>
    <row r="7" spans="2:14" ht="15" customHeight="1" x14ac:dyDescent="0.15">
      <c r="B7" s="32" t="s">
        <v>143</v>
      </c>
    </row>
    <row r="9" spans="2:14" ht="40" customHeight="1" x14ac:dyDescent="0.15">
      <c r="B9" s="36" t="s">
        <v>144</v>
      </c>
      <c r="D9" s="40" t="str">
        <f>IF(B10="yes","How much do you want to borrow? (without VAT)","")</f>
        <v/>
      </c>
      <c r="F9" s="11" t="str">
        <f>IF(B10="yes","Applicable VAT","")</f>
        <v/>
      </c>
      <c r="N9" s="163" t="str">
        <f>IF(B5="Not Complete","Previous Page incomplete, click here to fill the data","")</f>
        <v>Previous Page incomplete, click here to fill the data</v>
      </c>
    </row>
    <row r="10" spans="2:14" ht="20" customHeight="1" x14ac:dyDescent="0.15">
      <c r="B10" s="176" t="s">
        <v>13</v>
      </c>
      <c r="C10" s="11"/>
      <c r="D10" s="180"/>
      <c r="E10" s="11"/>
      <c r="F10" s="181"/>
      <c r="H10" s="169"/>
      <c r="J10" s="169"/>
    </row>
    <row r="11" spans="2:14" ht="25" customHeight="1" x14ac:dyDescent="0.15"/>
    <row r="12" spans="2:14" s="31" customFormat="1" ht="15" customHeight="1" x14ac:dyDescent="0.15">
      <c r="B12" s="30" t="s">
        <v>142</v>
      </c>
    </row>
    <row r="13" spans="2:14" ht="15" customHeight="1" x14ac:dyDescent="0.15">
      <c r="B13" s="32" t="s">
        <v>149</v>
      </c>
    </row>
    <row r="15" spans="2:14" ht="40" customHeight="1" x14ac:dyDescent="0.15">
      <c r="B15" s="36" t="s">
        <v>148</v>
      </c>
      <c r="D15" s="3" t="str">
        <f>IF($B$16="yes","Which Amount do you wish to finance as Bridge Loan?","")</f>
        <v/>
      </c>
      <c r="E15" s="3"/>
      <c r="F15" s="3" t="str">
        <f>IF($B$16="yes","Estimated selling price of current property","")</f>
        <v/>
      </c>
      <c r="G15" s="3"/>
      <c r="H15" s="3" t="str">
        <f>IF($B$16="yes","Remaining amount due on the loan of your current property?","")</f>
        <v/>
      </c>
      <c r="I15" s="3"/>
      <c r="J15" s="3" t="str">
        <f>IF($B$16="yes","A sales agreement already been signed for this property?","")</f>
        <v/>
      </c>
      <c r="K15" s="3"/>
      <c r="L15" s="3"/>
    </row>
    <row r="16" spans="2:14" ht="20" customHeight="1" x14ac:dyDescent="0.15">
      <c r="B16" s="176" t="s">
        <v>13</v>
      </c>
      <c r="D16" s="180"/>
      <c r="E16" s="11"/>
      <c r="F16" s="180"/>
      <c r="G16" s="11"/>
      <c r="H16" s="180"/>
      <c r="I16" s="11"/>
      <c r="J16" s="182"/>
      <c r="K16" s="11"/>
      <c r="L16" s="180"/>
    </row>
    <row r="17" ht="20" customHeight="1" x14ac:dyDescent="0.15"/>
    <row r="18" ht="20" customHeight="1" x14ac:dyDescent="0.15"/>
  </sheetData>
  <sheetProtection sheet="1" objects="1" scenarios="1" selectLockedCells="1"/>
  <conditionalFormatting sqref="D9:F9 D15:L15">
    <cfRule type="notContainsBlanks" dxfId="47" priority="7">
      <formula>LEN(TRIM(D9))&gt;0</formula>
    </cfRule>
  </conditionalFormatting>
  <conditionalFormatting sqref="D10">
    <cfRule type="expression" dxfId="46" priority="5">
      <formula>D9&lt;&gt;""</formula>
    </cfRule>
  </conditionalFormatting>
  <conditionalFormatting sqref="F10">
    <cfRule type="expression" dxfId="45" priority="4">
      <formula>F9&lt;&gt;""</formula>
    </cfRule>
  </conditionalFormatting>
  <conditionalFormatting sqref="D16:L16">
    <cfRule type="expression" dxfId="44" priority="3">
      <formula>D15&lt;&gt;""</formula>
    </cfRule>
  </conditionalFormatting>
  <conditionalFormatting sqref="L4">
    <cfRule type="notContainsBlanks" dxfId="43" priority="1">
      <formula>LEN(TRIM(L4))&gt;0</formula>
    </cfRule>
  </conditionalFormatting>
  <dataValidations count="3">
    <dataValidation type="list" allowBlank="1" showInputMessage="1" showErrorMessage="1" sqref="B10 B16" xr:uid="{EAEA00F2-3B32-4CD3-AE0D-51C01E229B97}">
      <formula1>YesNo</formula1>
    </dataValidation>
    <dataValidation type="whole" operator="greaterThan" allowBlank="1" showInputMessage="1" showErrorMessage="1" sqref="L16 H16" xr:uid="{809B051A-0E6B-46EC-B83F-21D7ECFEB7B3}">
      <formula1>0</formula1>
    </dataValidation>
    <dataValidation type="whole" operator="greaterThan" allowBlank="1" showInputMessage="1" showErrorMessage="1" prompt="Total price of the property" sqref="F16" xr:uid="{EDC3F92F-181A-4965-BEB0-EB033AC85F5B}">
      <formula1>0</formula1>
    </dataValidation>
  </dataValidations>
  <hyperlinks>
    <hyperlink ref="N9" location="'Your Project'!A1" display="'Your Project'!A1" xr:uid="{0AE62009-E588-413D-BF3D-B221C65AA652}"/>
    <hyperlink ref="B4" location="'Your Project'!A1" display="Your Project" xr:uid="{71194D1C-33C8-40AD-ABB9-D22292EED101}"/>
    <hyperlink ref="L4" location="'Your Revenues'!A1" display="'Your Revenues'!A1" xr:uid="{0D89ABE4-A7FB-4370-BBAB-1D5471215506}"/>
  </hyperlinks>
  <pageMargins left="0.51181102362204722" right="0.51181102362204722" top="0.74803149606299213" bottom="0.74803149606299213" header="0.31496062992125984" footer="0.31496062992125984"/>
  <pageSetup paperSize="9" orientation="landscape" horizontalDpi="360" verticalDpi="36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23F886ED-55D2-4805-9387-385A0C411D5F}">
          <x14:formula1>
            <xm:f>INDIRECT('Hidden_Lists Base'!$B$40)</xm:f>
          </x14:formula1>
          <xm:sqref>J16</xm:sqref>
        </x14:dataValidation>
        <x14:dataValidation type="list" allowBlank="1" showInputMessage="1" showErrorMessage="1" xr:uid="{A3035B9F-BE48-49A5-AC5A-8A9E85252915}">
          <x14:formula1>
            <xm:f>INDIRECT('Hidden_Lists Base'!$F$40)</xm:f>
          </x14:formula1>
          <xm:sqref>F10</xm:sqref>
        </x14:dataValidation>
        <x14:dataValidation type="whole" allowBlank="1" showInputMessage="1" showErrorMessage="1" error="Minimum Bridge Loan: 13.000,00" xr:uid="{BD115DC4-F806-4830-85BB-658ACCF77A39}">
          <x14:formula1>
            <xm:f>'Hidden_Lists Base'!G41</xm:f>
          </x14:formula1>
          <x14:formula2>
            <xm:f>'Hidden_Lists Base'!G42</xm:f>
          </x14:formula2>
          <xm:sqref>D16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884BC-3D60-42BC-AAC3-02801434CBA6}">
  <sheetPr codeName="Sheet4">
    <tabColor theme="5" tint="0.59999389629810485"/>
  </sheetPr>
  <dimension ref="B1:N20"/>
  <sheetViews>
    <sheetView showGridLines="0" zoomScaleNormal="100" workbookViewId="0">
      <pane ySplit="5" topLeftCell="A6" activePane="bottomLeft" state="frozen"/>
      <selection pane="bottomLeft" activeCell="B12" sqref="B12"/>
    </sheetView>
  </sheetViews>
  <sheetFormatPr baseColWidth="10" defaultColWidth="17.6640625" defaultRowHeight="15" customHeight="1" x14ac:dyDescent="0.15"/>
  <cols>
    <col min="1" max="1" width="3.6640625" style="4" customWidth="1"/>
    <col min="2" max="2" width="17.6640625" style="4"/>
    <col min="3" max="3" width="3.6640625" style="4" customWidth="1"/>
    <col min="4" max="4" width="17.6640625" style="4"/>
    <col min="5" max="5" width="3.6640625" style="4" customWidth="1"/>
    <col min="6" max="6" width="17.6640625" style="4"/>
    <col min="7" max="7" width="3.6640625" style="4" customWidth="1"/>
    <col min="8" max="8" width="17.6640625" style="4"/>
    <col min="9" max="9" width="3.6640625" style="4" customWidth="1"/>
    <col min="10" max="10" width="17.6640625" style="4"/>
    <col min="11" max="11" width="3.6640625" style="4" customWidth="1"/>
    <col min="12" max="12" width="17.6640625" style="4"/>
    <col min="13" max="13" width="3.6640625" style="4" customWidth="1"/>
    <col min="14" max="16384" width="17.6640625" style="4"/>
  </cols>
  <sheetData>
    <row r="1" spans="2:14" s="34" customFormat="1" ht="30" customHeight="1" x14ac:dyDescent="0.15">
      <c r="B1" s="33" t="s">
        <v>215</v>
      </c>
    </row>
    <row r="2" spans="2:14" s="35" customFormat="1" ht="15" customHeight="1" x14ac:dyDescent="0.15">
      <c r="B2" s="35" t="s">
        <v>126</v>
      </c>
    </row>
    <row r="3" spans="2:14" ht="10" customHeight="1" x14ac:dyDescent="0.15">
      <c r="B3" s="38"/>
    </row>
    <row r="4" spans="2:14" ht="15" customHeight="1" x14ac:dyDescent="0.15">
      <c r="B4" s="183" t="s">
        <v>131</v>
      </c>
      <c r="C4" s="11"/>
      <c r="D4" s="183" t="s">
        <v>134</v>
      </c>
      <c r="E4" s="11"/>
      <c r="F4" s="164" t="s">
        <v>135</v>
      </c>
      <c r="H4" s="166" t="s">
        <v>136</v>
      </c>
      <c r="J4" s="166" t="s">
        <v>137</v>
      </c>
      <c r="L4" s="170" t="str">
        <f>IF(AND('Hidden_Lists Base'!F55='Hidden_Lists Base'!G55,COUNTIF(B5:J5,"Not complete")=0),"Next Page","")</f>
        <v/>
      </c>
    </row>
    <row r="5" spans="2:14" s="88" customFormat="1" ht="20" customHeight="1" x14ac:dyDescent="0.15">
      <c r="B5" s="88" t="str">
        <f>IF('Your Project'!L4="Next Page","","Not Complete")</f>
        <v>Not Complete</v>
      </c>
      <c r="D5" s="88" t="str">
        <f>IF('Add Ins'!L4="Next Page","","Not Complete")</f>
        <v>Not Complete</v>
      </c>
    </row>
    <row r="6" spans="2:14" s="31" customFormat="1" ht="15" customHeight="1" x14ac:dyDescent="0.15">
      <c r="B6" s="30" t="s">
        <v>152</v>
      </c>
    </row>
    <row r="7" spans="2:14" ht="15" customHeight="1" x14ac:dyDescent="0.15">
      <c r="B7" s="32" t="s">
        <v>151</v>
      </c>
      <c r="H7" s="187" t="s">
        <v>213</v>
      </c>
    </row>
    <row r="9" spans="2:14" ht="15" customHeight="1" x14ac:dyDescent="0.15">
      <c r="B9" s="74" t="str">
        <f>IF(H7="2 Borrowers","1st Borrower","Borrower")</f>
        <v>Borrower</v>
      </c>
      <c r="C9" s="74"/>
      <c r="D9" s="74"/>
      <c r="E9" s="74"/>
      <c r="F9" s="74"/>
      <c r="G9" s="74"/>
      <c r="H9" s="74"/>
      <c r="I9" s="74"/>
      <c r="J9" s="74"/>
      <c r="K9" s="74"/>
      <c r="L9" s="74"/>
      <c r="M9" s="74"/>
      <c r="N9" s="74"/>
    </row>
    <row r="10" spans="2:14" ht="5" customHeight="1" x14ac:dyDescent="0.15"/>
    <row r="11" spans="2:14" ht="40" customHeight="1" x14ac:dyDescent="0.15">
      <c r="B11" s="36" t="s">
        <v>153</v>
      </c>
      <c r="D11" s="36" t="s">
        <v>154</v>
      </c>
      <c r="F11" s="36" t="s">
        <v>169</v>
      </c>
      <c r="H11" s="232" t="s">
        <v>170</v>
      </c>
      <c r="I11" s="232"/>
      <c r="J11" s="232"/>
      <c r="L11" s="84" t="str">
        <f>IF(OR(H12="",H12="None"),"","Replacement Income")</f>
        <v/>
      </c>
      <c r="N11" s="80" t="s">
        <v>171</v>
      </c>
    </row>
    <row r="12" spans="2:14" ht="15" customHeight="1" x14ac:dyDescent="0.15">
      <c r="B12" s="184"/>
      <c r="D12" s="185"/>
      <c r="F12" s="185"/>
      <c r="H12" s="230"/>
      <c r="I12" s="230"/>
      <c r="J12" s="230"/>
      <c r="L12" s="180"/>
      <c r="N12" s="79">
        <f>D12+(70%*F12)+L12</f>
        <v>0</v>
      </c>
    </row>
    <row r="13" spans="2:14" ht="20" customHeight="1" x14ac:dyDescent="0.15"/>
    <row r="14" spans="2:14" ht="15" customHeight="1" x14ac:dyDescent="0.15">
      <c r="B14" s="81" t="str">
        <f>IF(H7="2 Borrowers","2nd Borrower","")</f>
        <v/>
      </c>
    </row>
    <row r="15" spans="2:14" ht="5" customHeight="1" x14ac:dyDescent="0.15"/>
    <row r="16" spans="2:14" s="6" customFormat="1" ht="40" customHeight="1" x14ac:dyDescent="0.15">
      <c r="B16" s="83" t="str">
        <f>IF($B$14&lt;&gt;"",B11,"")</f>
        <v/>
      </c>
      <c r="C16" s="83"/>
      <c r="D16" s="83" t="str">
        <f>IF($B$14&lt;&gt;"",D11,"")</f>
        <v/>
      </c>
      <c r="E16" s="83"/>
      <c r="F16" s="83" t="str">
        <f>IF($B$14&lt;&gt;"",F11,"")</f>
        <v/>
      </c>
      <c r="G16" s="83"/>
      <c r="H16" s="233" t="str">
        <f>IF($B$14&lt;&gt;"",H11,"")</f>
        <v/>
      </c>
      <c r="I16" s="233"/>
      <c r="J16" s="233"/>
      <c r="L16" s="84" t="str">
        <f>IF(OR(H17="",H17="None"),"","Replacement Income")</f>
        <v/>
      </c>
      <c r="N16" s="82" t="str">
        <f>IF($B$14&lt;&gt;"",N11,"")</f>
        <v/>
      </c>
    </row>
    <row r="17" spans="2:14" ht="15" customHeight="1" x14ac:dyDescent="0.15">
      <c r="B17" s="186"/>
      <c r="C17" s="85"/>
      <c r="D17" s="180"/>
      <c r="E17" s="85"/>
      <c r="F17" s="180"/>
      <c r="G17" s="85"/>
      <c r="H17" s="234"/>
      <c r="I17" s="234"/>
      <c r="J17" s="234"/>
      <c r="K17" s="85"/>
      <c r="L17" s="180"/>
      <c r="M17" s="85"/>
      <c r="N17" s="14" t="str">
        <f>IF(B14="","",D17+(70%*F17)+L17)</f>
        <v/>
      </c>
    </row>
    <row r="18" spans="2:14" ht="5" customHeight="1" x14ac:dyDescent="0.15"/>
    <row r="19" spans="2:14" ht="40" customHeight="1" x14ac:dyDescent="0.15"/>
    <row r="20" spans="2:14" ht="20" customHeight="1" x14ac:dyDescent="0.15"/>
  </sheetData>
  <sheetProtection sheet="1" objects="1" scenarios="1" selectLockedCells="1"/>
  <mergeCells count="4">
    <mergeCell ref="H12:J12"/>
    <mergeCell ref="H11:J11"/>
    <mergeCell ref="H16:J16"/>
    <mergeCell ref="H17:J17"/>
  </mergeCells>
  <conditionalFormatting sqref="B14:N14">
    <cfRule type="expression" dxfId="42" priority="13">
      <formula>$B$14&lt;&gt;""</formula>
    </cfRule>
  </conditionalFormatting>
  <conditionalFormatting sqref="B16:J16">
    <cfRule type="notContainsBlanks" dxfId="41" priority="12">
      <formula>LEN(TRIM(B16))&gt;0</formula>
    </cfRule>
  </conditionalFormatting>
  <conditionalFormatting sqref="H17:J17">
    <cfRule type="expression" dxfId="40" priority="11">
      <formula>H16&lt;&gt;""</formula>
    </cfRule>
  </conditionalFormatting>
  <conditionalFormatting sqref="B17:F17">
    <cfRule type="expression" dxfId="39" priority="8">
      <formula>B16&lt;&gt;""</formula>
    </cfRule>
  </conditionalFormatting>
  <conditionalFormatting sqref="L17">
    <cfRule type="expression" dxfId="38" priority="7">
      <formula>L16&lt;&gt;""</formula>
    </cfRule>
  </conditionalFormatting>
  <conditionalFormatting sqref="L12">
    <cfRule type="expression" dxfId="37" priority="6">
      <formula>L11&lt;&gt;""</formula>
    </cfRule>
  </conditionalFormatting>
  <conditionalFormatting sqref="L11">
    <cfRule type="notContainsBlanks" dxfId="36" priority="5">
      <formula>LEN(TRIM(L11))&gt;0</formula>
    </cfRule>
  </conditionalFormatting>
  <conditionalFormatting sqref="L16">
    <cfRule type="notContainsBlanks" dxfId="35" priority="4">
      <formula>LEN(TRIM(L16))&gt;0</formula>
    </cfRule>
  </conditionalFormatting>
  <conditionalFormatting sqref="N16">
    <cfRule type="notContainsBlanks" dxfId="34" priority="3">
      <formula>LEN(TRIM(N16))&gt;0</formula>
    </cfRule>
  </conditionalFormatting>
  <conditionalFormatting sqref="L4">
    <cfRule type="notContainsBlanks" dxfId="33" priority="2">
      <formula>LEN(TRIM(L4))&gt;0</formula>
    </cfRule>
  </conditionalFormatting>
  <conditionalFormatting sqref="N17">
    <cfRule type="expression" dxfId="32" priority="1">
      <formula>N16&lt;&gt;""</formula>
    </cfRule>
  </conditionalFormatting>
  <dataValidations count="3">
    <dataValidation type="whole" operator="greaterThan" allowBlank="1" showInputMessage="1" showErrorMessage="1" sqref="D12 D17 L12 L17" xr:uid="{43A42A78-61E5-4745-A6C6-750B39593330}">
      <formula1>0</formula1>
    </dataValidation>
    <dataValidation type="list" allowBlank="1" showInputMessage="1" showErrorMessage="1" sqref="H7" xr:uid="{5A1641AF-9033-4A5A-B274-E8027AE302D9}">
      <formula1>"1 Borrower,2 Borrowers"</formula1>
    </dataValidation>
    <dataValidation type="whole" operator="greaterThan" allowBlank="1" showInputMessage="1" showErrorMessage="1" prompt="Please inform your monthly net rental income, we do won't take into account any fixed costs. For the final calculation, note that we will only consider 80% of this revenue." sqref="F12 F17" xr:uid="{B1B5CBB8-70F9-48B4-AC31-5AB8EC6C006F}">
      <formula1>0</formula1>
    </dataValidation>
  </dataValidations>
  <hyperlinks>
    <hyperlink ref="D4" location="'Add Ins'!A1" display="Add Ins" xr:uid="{9DE2491F-41D0-44E8-A8FE-413E18BBD3D7}"/>
    <hyperlink ref="B4" location="'Your Project'!A1" display="Your Project" xr:uid="{3CE0E423-581F-4C56-BEEC-4ACA62B40C0B}"/>
    <hyperlink ref="L4" location="'Additional Information'!A1" display="'Additional Information'!A1" xr:uid="{23877480-F8F4-4F9C-BE88-CED40DDF0E56}"/>
  </hyperlinks>
  <pageMargins left="0.51181102362204722" right="0.51181102362204722" top="0.74803149606299213" bottom="0.74803149606299213" header="0.31496062992125984" footer="0.31496062992125984"/>
  <pageSetup paperSize="9" orientation="landscape" horizontalDpi="360" verticalDpi="36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CB88BE28-F739-42CA-94FF-5279A5972CCE}">
          <x14:formula1>
            <xm:f>'Hidden_Lists Base'!$A$53:$A$59</xm:f>
          </x14:formula1>
          <xm:sqref>H12:J12</xm:sqref>
        </x14:dataValidation>
        <x14:dataValidation type="list" allowBlank="1" showInputMessage="1" showErrorMessage="1" xr:uid="{514A961B-1485-40D8-A635-F3B8207C1334}">
          <x14:formula1>
            <xm:f>INDIRECT('Hidden_Lists Base'!$B$53)</xm:f>
          </x14:formula1>
          <xm:sqref>H17:J17</xm:sqref>
        </x14:dataValidation>
        <x14:dataValidation type="date" allowBlank="1" showInputMessage="1" showErrorMessage="1" errorTitle="Age Warning" error="It's not allowed for people with more than 67 or less than 18 years old to ask for a loan" xr:uid="{50075AAD-F7CB-45D2-88AA-17856A17EEAD}">
          <x14:formula1>
            <xm:f>'Hidden_Lists Base'!E49</xm:f>
          </x14:formula1>
          <x14:formula2>
            <xm:f>'Hidden_Lists Base'!G49</xm:f>
          </x14:formula2>
          <xm:sqref>B12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DDAED-DE13-4BA8-95DA-F75C907FBC56}">
  <sheetPr codeName="Sheet5">
    <tabColor theme="5" tint="0.79998168889431442"/>
  </sheetPr>
  <dimension ref="B1:N20"/>
  <sheetViews>
    <sheetView showGridLines="0" zoomScaleNormal="100" workbookViewId="0">
      <pane ySplit="5" topLeftCell="A6" activePane="bottomLeft" state="frozen"/>
      <selection pane="bottomLeft" activeCell="B12" sqref="B12"/>
    </sheetView>
  </sheetViews>
  <sheetFormatPr baseColWidth="10" defaultColWidth="17.6640625" defaultRowHeight="15" customHeight="1" x14ac:dyDescent="0.15"/>
  <cols>
    <col min="1" max="1" width="3.6640625" style="4" customWidth="1"/>
    <col min="2" max="2" width="17.6640625" style="4"/>
    <col min="3" max="3" width="3.6640625" style="4" customWidth="1"/>
    <col min="4" max="4" width="17.6640625" style="4"/>
    <col min="5" max="5" width="3.6640625" style="4" customWidth="1"/>
    <col min="6" max="6" width="17.6640625" style="4"/>
    <col min="7" max="7" width="3.6640625" style="4" customWidth="1"/>
    <col min="8" max="8" width="17.6640625" style="4"/>
    <col min="9" max="9" width="3.6640625" style="4" customWidth="1"/>
    <col min="10" max="10" width="17.6640625" style="4"/>
    <col min="11" max="11" width="3.6640625" style="4" customWidth="1"/>
    <col min="12" max="12" width="17.6640625" style="4"/>
    <col min="13" max="13" width="3.6640625" style="4" customWidth="1"/>
    <col min="14" max="16384" width="17.6640625" style="4"/>
  </cols>
  <sheetData>
    <row r="1" spans="2:14" s="34" customFormat="1" ht="30" customHeight="1" x14ac:dyDescent="0.15">
      <c r="B1" s="33" t="s">
        <v>215</v>
      </c>
    </row>
    <row r="2" spans="2:14" s="35" customFormat="1" ht="15" customHeight="1" x14ac:dyDescent="0.15">
      <c r="B2" s="35" t="s">
        <v>126</v>
      </c>
    </row>
    <row r="3" spans="2:14" ht="10" customHeight="1" x14ac:dyDescent="0.15">
      <c r="B3" s="38"/>
    </row>
    <row r="4" spans="2:14" ht="15" customHeight="1" x14ac:dyDescent="0.15">
      <c r="B4" s="208" t="s">
        <v>131</v>
      </c>
      <c r="C4" s="11"/>
      <c r="D4" s="208" t="s">
        <v>134</v>
      </c>
      <c r="E4" s="11"/>
      <c r="F4" s="208" t="s">
        <v>135</v>
      </c>
      <c r="H4" s="165" t="s">
        <v>136</v>
      </c>
      <c r="J4" s="166" t="s">
        <v>137</v>
      </c>
      <c r="L4" s="170" t="str">
        <f>IF('Hidden_Lists Base'!D73='Hidden_Lists Base'!E73,"Next Page","")</f>
        <v/>
      </c>
    </row>
    <row r="5" spans="2:14" s="88" customFormat="1" ht="20" customHeight="1" x14ac:dyDescent="0.15">
      <c r="B5" s="88" t="str">
        <f>IF('Your Project'!L4="Next Page","","Not Complete")</f>
        <v>Not Complete</v>
      </c>
      <c r="D5" s="88" t="str">
        <f>IF('Add Ins'!L4="Next Page","","Not Complete")</f>
        <v>Not Complete</v>
      </c>
      <c r="F5" s="88" t="str">
        <f>IF('Your Revenues'!L4="Next Page","","Not Complete")</f>
        <v>Not Complete</v>
      </c>
    </row>
    <row r="6" spans="2:14" s="31" customFormat="1" ht="15" customHeight="1" x14ac:dyDescent="0.15">
      <c r="B6" s="30" t="s">
        <v>176</v>
      </c>
    </row>
    <row r="7" spans="2:14" ht="15" customHeight="1" x14ac:dyDescent="0.15">
      <c r="B7" s="32" t="s">
        <v>177</v>
      </c>
    </row>
    <row r="9" spans="2:14" ht="15" customHeight="1" x14ac:dyDescent="0.15">
      <c r="B9" s="74" t="str">
        <f>IF('Your Revenues'!H7="2 Borrowers","1st Borrower","Borrower")</f>
        <v>Borrower</v>
      </c>
      <c r="C9" s="74"/>
      <c r="D9" s="74"/>
      <c r="E9" s="74"/>
      <c r="F9" s="74"/>
      <c r="G9" s="74"/>
      <c r="H9" s="74"/>
      <c r="I9" s="74"/>
      <c r="J9" s="74"/>
      <c r="K9" s="74"/>
      <c r="L9" s="74"/>
      <c r="M9" s="74"/>
      <c r="N9" s="74"/>
    </row>
    <row r="10" spans="2:14" ht="5" customHeight="1" x14ac:dyDescent="0.15"/>
    <row r="11" spans="2:14" ht="40" customHeight="1" x14ac:dyDescent="0.15">
      <c r="B11" s="36" t="s">
        <v>178</v>
      </c>
      <c r="D11" s="36" t="s">
        <v>179</v>
      </c>
      <c r="F11" s="40" t="str">
        <f>IF(D12="YES","Monthly amount payed in the existing loan","")</f>
        <v/>
      </c>
      <c r="H11" s="36" t="s">
        <v>184</v>
      </c>
      <c r="J11" s="40" t="str">
        <f>IF(H12="YES","How much is the rent?","")</f>
        <v/>
      </c>
      <c r="L11" s="36" t="s">
        <v>183</v>
      </c>
      <c r="N11" s="36" t="s">
        <v>181</v>
      </c>
    </row>
    <row r="12" spans="2:14" s="11" customFormat="1" ht="15" customHeight="1" x14ac:dyDescent="0.15">
      <c r="B12" s="184"/>
      <c r="D12" s="207"/>
      <c r="F12" s="180"/>
      <c r="H12" s="176"/>
      <c r="I12" s="14"/>
      <c r="J12" s="180"/>
      <c r="L12" s="206"/>
      <c r="N12" s="205"/>
    </row>
    <row r="13" spans="2:14" ht="20" customHeight="1" x14ac:dyDescent="0.15"/>
    <row r="14" spans="2:14" ht="15" customHeight="1" x14ac:dyDescent="0.15">
      <c r="B14" s="81" t="str">
        <f>IF('Your Revenues'!H7="2 Borrowers","2nd Borrower","")</f>
        <v/>
      </c>
    </row>
    <row r="15" spans="2:14" ht="5" customHeight="1" x14ac:dyDescent="0.15"/>
    <row r="16" spans="2:14" s="6" customFormat="1" ht="40" customHeight="1" x14ac:dyDescent="0.15">
      <c r="B16" s="83" t="str">
        <f>IF($B$14&lt;&gt;"",B11,"")</f>
        <v/>
      </c>
      <c r="C16" s="83"/>
      <c r="D16" s="83" t="str">
        <f>IF($B$14&lt;&gt;"",D11,"")</f>
        <v/>
      </c>
      <c r="E16" s="83"/>
      <c r="F16" s="83" t="str">
        <f>IF(D17="YES","Monthly amount payed in the existing loan","")</f>
        <v/>
      </c>
      <c r="G16" s="83"/>
      <c r="H16" s="83" t="str">
        <f>IF($B$14&lt;&gt;"",H11,"")</f>
        <v/>
      </c>
      <c r="I16" s="83"/>
      <c r="J16" s="40" t="str">
        <f>IF(H17="YES","How much is the rent?","")</f>
        <v/>
      </c>
      <c r="L16" s="83" t="str">
        <f>IF($B$14&lt;&gt;"",L11,"")</f>
        <v/>
      </c>
      <c r="N16" s="83" t="str">
        <f>IF($B$14&lt;&gt;"",N11,"")</f>
        <v/>
      </c>
    </row>
    <row r="17" spans="2:14" s="11" customFormat="1" ht="15" customHeight="1" x14ac:dyDescent="0.15">
      <c r="B17" s="186"/>
      <c r="C17" s="85"/>
      <c r="D17" s="180"/>
      <c r="E17" s="85"/>
      <c r="F17" s="180"/>
      <c r="G17" s="85"/>
      <c r="H17" s="186"/>
      <c r="I17" s="85"/>
      <c r="J17" s="180"/>
      <c r="K17" s="85"/>
      <c r="L17" s="206"/>
      <c r="M17" s="85"/>
      <c r="N17" s="205"/>
    </row>
    <row r="18" spans="2:14" ht="5" customHeight="1" x14ac:dyDescent="0.15"/>
    <row r="19" spans="2:14" ht="40" customHeight="1" x14ac:dyDescent="0.15"/>
    <row r="20" spans="2:14" ht="20" customHeight="1" x14ac:dyDescent="0.15"/>
  </sheetData>
  <sheetProtection sheet="1" objects="1" scenarios="1" selectLockedCells="1"/>
  <conditionalFormatting sqref="B14:N14">
    <cfRule type="expression" dxfId="31" priority="20">
      <formula>$B$14&lt;&gt;""</formula>
    </cfRule>
  </conditionalFormatting>
  <conditionalFormatting sqref="B16:J16">
    <cfRule type="notContainsBlanks" dxfId="30" priority="19">
      <formula>LEN(TRIM(B16))&gt;0</formula>
    </cfRule>
  </conditionalFormatting>
  <conditionalFormatting sqref="H17:J17">
    <cfRule type="expression" dxfId="29" priority="18">
      <formula>H16&lt;&gt;""</formula>
    </cfRule>
  </conditionalFormatting>
  <conditionalFormatting sqref="B17:F17">
    <cfRule type="expression" dxfId="28" priority="17">
      <formula>B16&lt;&gt;""</formula>
    </cfRule>
  </conditionalFormatting>
  <conditionalFormatting sqref="L12">
    <cfRule type="expression" dxfId="27" priority="15">
      <formula>L11&lt;&gt;""</formula>
    </cfRule>
  </conditionalFormatting>
  <conditionalFormatting sqref="N12">
    <cfRule type="expression" dxfId="26" priority="9">
      <formula>N11&lt;&gt;""</formula>
    </cfRule>
  </conditionalFormatting>
  <conditionalFormatting sqref="L17:N17">
    <cfRule type="expression" dxfId="25" priority="7">
      <formula>L16&lt;&gt;""</formula>
    </cfRule>
  </conditionalFormatting>
  <conditionalFormatting sqref="L16">
    <cfRule type="notContainsBlanks" dxfId="24" priority="6">
      <formula>LEN(TRIM(L16))&gt;0</formula>
    </cfRule>
  </conditionalFormatting>
  <conditionalFormatting sqref="N16">
    <cfRule type="notContainsBlanks" dxfId="23" priority="5">
      <formula>LEN(TRIM(N16))&gt;0</formula>
    </cfRule>
  </conditionalFormatting>
  <conditionalFormatting sqref="F11 J11 F16 J16">
    <cfRule type="notContainsBlanks" dxfId="22" priority="4">
      <formula>LEN(TRIM(F11))&gt;0</formula>
    </cfRule>
  </conditionalFormatting>
  <conditionalFormatting sqref="F12">
    <cfRule type="expression" dxfId="21" priority="3">
      <formula>F11&lt;&gt;""</formula>
    </cfRule>
  </conditionalFormatting>
  <conditionalFormatting sqref="I12:J12">
    <cfRule type="expression" dxfId="20" priority="2">
      <formula>I11&lt;&gt;""</formula>
    </cfRule>
  </conditionalFormatting>
  <conditionalFormatting sqref="L4">
    <cfRule type="notContainsBlanks" dxfId="19" priority="1">
      <formula>LEN(TRIM(L4))&gt;0</formula>
    </cfRule>
  </conditionalFormatting>
  <dataValidations count="3">
    <dataValidation type="whole" allowBlank="1" showInputMessage="1" showErrorMessage="1" sqref="N17 N12" xr:uid="{4E245D50-37DB-46AB-8070-6C80B4C6615F}">
      <formula1>0</formula1>
      <formula2>15</formula2>
    </dataValidation>
    <dataValidation allowBlank="1" showInputMessage="1" showErrorMessage="1" prompt="Alimony is court-ordered support paid by one spouse to the other for a period of time after a divorce. Alimony is paid by a spouse who has the ability to pay to a spouse in need of support for a period of time." sqref="L12 L17" xr:uid="{1C3166B3-EF53-4B83-BC57-05ADDA9D38BA}"/>
    <dataValidation allowBlank="1" showInputMessage="1" showErrorMessage="1" prompt="If you split the rent with other people, please imput only your share of the rent._x000a_Example: if you split the rent with another person in half, divide the rent valur by 2." sqref="J12 J17" xr:uid="{32032268-6BD8-4D1F-B273-987D0DA85C9C}"/>
  </dataValidations>
  <hyperlinks>
    <hyperlink ref="L4" location="Simulation!A1" display="Simulation!A1" xr:uid="{E893AC56-7502-48B6-8D38-CA531EB0B9F1}"/>
  </hyperlinks>
  <pageMargins left="0.51181102362204722" right="0.51181102362204722" top="0.74803149606299213" bottom="0.74803149606299213" header="0.31496062992125984" footer="0.31496062992125984"/>
  <pageSetup paperSize="9" orientation="landscape" horizontalDpi="360" verticalDpi="36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BFD878B-FC7A-4649-8BA6-446F8069CD67}">
          <x14:formula1>
            <xm:f>INDIRECT('Hidden_Lists Base'!$B$65)</xm:f>
          </x14:formula1>
          <xm:sqref>B17 D17 H17</xm:sqref>
        </x14:dataValidation>
        <x14:dataValidation type="list" allowBlank="1" showInputMessage="1" showErrorMessage="1" xr:uid="{FBBBE2EA-9EB0-4F87-AAB6-B29AA9E71247}">
          <x14:formula1>
            <xm:f>INDIRECT('Hidden_Lists Base'!$B$63)</xm:f>
          </x14:formula1>
          <xm:sqref>B12 D12 H12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38E1-D751-43D6-A5A7-E5247A4867F9}">
  <sheetPr codeName="Sheet6">
    <tabColor theme="5"/>
  </sheetPr>
  <dimension ref="A1:X1251"/>
  <sheetViews>
    <sheetView showGridLines="0" zoomScale="115" zoomScaleNormal="115" workbookViewId="0">
      <pane ySplit="2" topLeftCell="A7" activePane="bottomLeft" state="frozen"/>
      <selection pane="bottomLeft" activeCell="B14" sqref="B14:H14"/>
    </sheetView>
  </sheetViews>
  <sheetFormatPr baseColWidth="10" defaultColWidth="8.6640625" defaultRowHeight="14" customHeight="1" x14ac:dyDescent="0.15"/>
  <cols>
    <col min="1" max="1" width="6.5" style="6" customWidth="1"/>
    <col min="2" max="2" width="10.6640625" style="7" customWidth="1"/>
    <col min="3" max="10" width="10.6640625" style="5" customWidth="1"/>
    <col min="11" max="11" width="12.5" style="5" hidden="1" customWidth="1"/>
    <col min="12" max="12" width="12.5" style="9" hidden="1" customWidth="1"/>
    <col min="13" max="23" width="8.6640625" style="4" hidden="1" customWidth="1"/>
    <col min="24" max="24" width="10.6640625" style="5" hidden="1" customWidth="1"/>
    <col min="25" max="16384" width="8.6640625" style="4"/>
  </cols>
  <sheetData>
    <row r="1" spans="1:24" s="34" customFormat="1" ht="36.5" customHeight="1" x14ac:dyDescent="0.15">
      <c r="B1" s="33" t="s">
        <v>216</v>
      </c>
    </row>
    <row r="2" spans="1:24" ht="16.5" customHeight="1" x14ac:dyDescent="0.15">
      <c r="A2" s="261" t="s">
        <v>207</v>
      </c>
      <c r="B2" s="261"/>
      <c r="C2" s="261"/>
      <c r="D2" s="261"/>
      <c r="E2" s="261"/>
      <c r="F2" s="261"/>
      <c r="G2" s="261"/>
      <c r="H2" s="261"/>
      <c r="I2" s="261"/>
      <c r="J2" s="261"/>
      <c r="X2" s="4"/>
    </row>
    <row r="3" spans="1:24" ht="16.5" customHeight="1" x14ac:dyDescent="0.15">
      <c r="A3" s="141"/>
      <c r="B3" s="141"/>
      <c r="C3" s="141"/>
      <c r="D3" s="141"/>
      <c r="E3" s="141"/>
      <c r="F3" s="141"/>
      <c r="G3" s="141"/>
      <c r="H3" s="141"/>
      <c r="I3" s="141"/>
      <c r="J3" s="141"/>
      <c r="X3" s="141"/>
    </row>
    <row r="4" spans="1:24" s="115" customFormat="1" ht="14" customHeight="1" x14ac:dyDescent="0.15">
      <c r="A4" s="115" t="s">
        <v>199</v>
      </c>
      <c r="B4" s="116"/>
      <c r="C4" s="116"/>
      <c r="D4" s="117"/>
      <c r="E4" s="117"/>
      <c r="F4" s="117"/>
      <c r="G4" s="118"/>
      <c r="H4" s="118"/>
      <c r="I4" s="118"/>
      <c r="J4" s="118"/>
      <c r="K4" s="118"/>
      <c r="L4" s="119"/>
      <c r="X4" s="118"/>
    </row>
    <row r="5" spans="1:24" s="125" customFormat="1" ht="17.5" customHeight="1" x14ac:dyDescent="0.15">
      <c r="A5" s="120" t="s">
        <v>204</v>
      </c>
      <c r="B5" s="121" t="str">
        <f>_xlfn.CONCAT('Your Project'!B10," ",'Your Project'!D10)</f>
        <v xml:space="preserve"> </v>
      </c>
      <c r="C5" s="122"/>
      <c r="D5" s="123"/>
      <c r="E5" s="122"/>
      <c r="F5" s="122"/>
      <c r="G5" s="120" t="s">
        <v>204</v>
      </c>
      <c r="H5" s="204" t="str">
        <f>_xlfn.CONCAT("Number of Borrowers: ",2-COUNTIF('Your Revenues'!B14,""))</f>
        <v>Number of Borrowers: 1</v>
      </c>
      <c r="I5" s="123"/>
      <c r="J5" s="123"/>
      <c r="K5" s="123"/>
      <c r="L5" s="124"/>
      <c r="X5" s="123"/>
    </row>
    <row r="6" spans="1:24" s="126" customFormat="1" ht="14" customHeight="1" x14ac:dyDescent="0.15">
      <c r="B6" s="126" t="str">
        <f>_xlfn.CONCAT("(",IF('Your Project'!F10="under VAT regime",_xlfn.CONCAT('Your Project'!F10,": ","purchase on plan: ",'Your Project'!H10,"; ",'Your Project'!J10,"; Price of the land: ",'Your Project'!L10),'Your Project'!F10),")")</f>
        <v>()</v>
      </c>
      <c r="C6" s="127"/>
      <c r="D6" s="128"/>
      <c r="E6" s="127"/>
      <c r="F6" s="127"/>
      <c r="G6" s="128"/>
      <c r="H6" s="128"/>
      <c r="I6" s="128"/>
      <c r="J6" s="128"/>
      <c r="K6" s="128"/>
      <c r="L6" s="129"/>
      <c r="X6" s="128"/>
    </row>
    <row r="7" spans="1:24" s="135" customFormat="1" ht="14" customHeight="1" x14ac:dyDescent="0.15">
      <c r="A7" s="130" t="s">
        <v>204</v>
      </c>
      <c r="B7" s="131" t="str">
        <f>_xlfn.CONCAT("Region: ",'Your Project'!B16,"; Applicable taxes informed: ",'Your Project'!F16:H16)</f>
        <v xml:space="preserve">Region: ; Applicable taxes informed: </v>
      </c>
      <c r="C7" s="132"/>
      <c r="D7" s="132"/>
      <c r="E7" s="132"/>
      <c r="F7" s="132"/>
      <c r="G7" s="133"/>
      <c r="H7" s="133"/>
      <c r="I7" s="133"/>
      <c r="J7" s="133"/>
      <c r="K7" s="133"/>
      <c r="L7" s="134"/>
      <c r="X7" s="133"/>
    </row>
    <row r="8" spans="1:24" s="135" customFormat="1" ht="14" customHeight="1" x14ac:dyDescent="0.15">
      <c r="A8" s="130" t="s">
        <v>204</v>
      </c>
      <c r="B8" s="131" t="str">
        <f>_xlfn.CONCAT("Renovations : ",'Add Ins'!B10,IF('Add Ins'!B10="no","",_xlfn.CONCAT(" (Amount without VAT: ",'Add Ins'!D10,"/ Applicable VAT: ",'Add Ins'!F10)))</f>
        <v>Renovations : No</v>
      </c>
      <c r="C8" s="132"/>
      <c r="D8" s="132"/>
      <c r="E8" s="132"/>
      <c r="F8" s="132"/>
      <c r="G8" s="133"/>
      <c r="H8" s="133"/>
      <c r="I8" s="133"/>
      <c r="J8" s="133"/>
      <c r="K8" s="133"/>
      <c r="L8" s="134"/>
      <c r="X8" s="133"/>
    </row>
    <row r="9" spans="1:24" s="135" customFormat="1" ht="14" customHeight="1" x14ac:dyDescent="0.15">
      <c r="A9" s="130" t="s">
        <v>204</v>
      </c>
      <c r="B9" s="131" t="str">
        <f>_xlfn.CONCAT("Bridge Loan: ",'Add Ins'!B16)</f>
        <v>Bridge Loan: No</v>
      </c>
      <c r="E9" s="266" t="str">
        <f>IF('Add Ins'!B16="yes","Amount:","")</f>
        <v/>
      </c>
      <c r="F9" s="266"/>
      <c r="G9" s="132" t="str">
        <f>IF('Add Ins'!B16="yes","Fixed Rate","")</f>
        <v/>
      </c>
      <c r="H9" s="133" t="str">
        <f>IF('Add Ins'!B16="yes","APR:","")</f>
        <v/>
      </c>
      <c r="I9" s="264" t="str">
        <f>IF('Add Ins'!B16="yes","Monthly Payment:","")</f>
        <v/>
      </c>
      <c r="J9" s="264"/>
      <c r="K9" s="133"/>
      <c r="L9" s="134"/>
    </row>
    <row r="10" spans="1:24" s="135" customFormat="1" ht="14" customHeight="1" x14ac:dyDescent="0.15">
      <c r="A10" s="130"/>
      <c r="B10" s="131"/>
      <c r="C10" s="203"/>
      <c r="E10" s="265" t="str">
        <f>IF(E9="","",'Hidden_Bridge Loan'!B6)</f>
        <v/>
      </c>
      <c r="F10" s="265"/>
      <c r="G10" s="225" t="str">
        <f>IF(G9="","",'Hidden_Bridge Loan'!B7)</f>
        <v/>
      </c>
      <c r="H10" s="226" t="str">
        <f>IF(H9="","",'Hidden_Bridge Loan'!B8)</f>
        <v/>
      </c>
      <c r="I10" s="265" t="str">
        <f>IF(I9="","",'Hidden_Bridge Loan'!E8)</f>
        <v/>
      </c>
      <c r="J10" s="265"/>
      <c r="K10" s="133"/>
      <c r="L10" s="134"/>
    </row>
    <row r="11" spans="1:24" s="135" customFormat="1" ht="24.5" customHeight="1" x14ac:dyDescent="0.15">
      <c r="C11" s="132"/>
      <c r="D11" s="132"/>
      <c r="E11" s="132"/>
      <c r="F11" s="132"/>
      <c r="G11" s="133"/>
      <c r="H11" s="133"/>
      <c r="I11" s="133"/>
      <c r="J11" s="133"/>
      <c r="K11" s="133"/>
      <c r="L11" s="134"/>
      <c r="X11" s="133"/>
    </row>
    <row r="12" spans="1:24" ht="21" customHeight="1" x14ac:dyDescent="0.15">
      <c r="A12" s="4"/>
      <c r="B12" s="11"/>
      <c r="C12" s="11"/>
      <c r="D12" s="11"/>
      <c r="E12" s="6"/>
      <c r="F12" s="6"/>
    </row>
    <row r="13" spans="1:24" ht="19" customHeight="1" x14ac:dyDescent="0.15">
      <c r="A13" s="4"/>
      <c r="B13" s="109" t="s">
        <v>230</v>
      </c>
      <c r="C13" s="4"/>
      <c r="D13" s="11"/>
      <c r="E13" s="6"/>
      <c r="F13" s="6"/>
      <c r="I13" s="110" t="str">
        <f>B23</f>
        <v>Own Funds</v>
      </c>
    </row>
    <row r="14" spans="1:24" s="112" customFormat="1" ht="25" customHeight="1" x14ac:dyDescent="0.15">
      <c r="B14" s="259">
        <v>10000</v>
      </c>
      <c r="C14" s="259"/>
      <c r="D14" s="259"/>
      <c r="E14" s="259"/>
      <c r="F14" s="259"/>
      <c r="G14" s="259"/>
      <c r="H14" s="259"/>
      <c r="I14" s="108">
        <f>Own_Funds</f>
        <v>-10000</v>
      </c>
      <c r="K14" s="113"/>
      <c r="L14" s="114"/>
    </row>
    <row r="15" spans="1:24" ht="14" customHeight="1" x14ac:dyDescent="0.15">
      <c r="A15" s="4"/>
      <c r="B15" s="4"/>
      <c r="C15" s="4"/>
      <c r="D15" s="4"/>
      <c r="E15" s="4"/>
      <c r="F15" s="4"/>
      <c r="G15" s="4"/>
      <c r="H15" s="4"/>
      <c r="I15" s="4"/>
    </row>
    <row r="16" spans="1:24" ht="14" customHeight="1" x14ac:dyDescent="0.15">
      <c r="A16" s="4"/>
      <c r="B16" s="109" t="s">
        <v>24</v>
      </c>
      <c r="C16" s="11"/>
      <c r="D16" s="11"/>
      <c r="E16" s="6"/>
      <c r="F16" s="6"/>
    </row>
    <row r="17" spans="1:24" s="112" customFormat="1" ht="25" customHeight="1" x14ac:dyDescent="0.15">
      <c r="B17" s="260">
        <v>5</v>
      </c>
      <c r="C17" s="260"/>
      <c r="D17" s="260"/>
      <c r="E17" s="260"/>
      <c r="F17" s="260"/>
      <c r="G17" s="260"/>
      <c r="H17" s="260"/>
      <c r="I17" s="260"/>
      <c r="J17" s="136"/>
      <c r="K17" s="113"/>
      <c r="L17" s="114"/>
      <c r="X17" s="136"/>
    </row>
    <row r="18" spans="1:24" ht="14" customHeight="1" x14ac:dyDescent="0.15">
      <c r="A18" s="4"/>
      <c r="B18" s="45" t="e">
        <f ca="1">_xlfn.CONCAT("Min: ",Hidden_Filter!D4)</f>
        <v>#N/A</v>
      </c>
      <c r="C18" s="45"/>
      <c r="D18" s="11"/>
      <c r="E18" s="6"/>
      <c r="F18" s="6"/>
      <c r="I18" s="111" t="e">
        <f ca="1">_xlfn.CONCAT("Max: ",Hidden_Filter!E4)</f>
        <v>#N/A</v>
      </c>
    </row>
    <row r="19" spans="1:24" ht="14" customHeight="1" x14ac:dyDescent="0.15">
      <c r="A19" s="4"/>
      <c r="B19" s="11"/>
      <c r="D19" s="11"/>
      <c r="E19" s="6"/>
      <c r="F19" s="6"/>
    </row>
    <row r="20" spans="1:24" ht="14" customHeight="1" x14ac:dyDescent="0.15">
      <c r="A20" s="3"/>
      <c r="B20" s="6"/>
      <c r="C20" s="6"/>
      <c r="D20" s="6"/>
      <c r="E20" s="6"/>
      <c r="F20" s="6"/>
    </row>
    <row r="21" spans="1:24" ht="14" customHeight="1" x14ac:dyDescent="0.15">
      <c r="A21" s="3"/>
      <c r="B21" s="210"/>
      <c r="C21" s="211"/>
      <c r="D21" s="211"/>
      <c r="E21" s="211"/>
      <c r="F21" s="211"/>
      <c r="G21" s="212"/>
      <c r="H21" s="212"/>
      <c r="I21" s="213"/>
    </row>
    <row r="22" spans="1:24" ht="14" customHeight="1" x14ac:dyDescent="0.15">
      <c r="A22" s="3"/>
      <c r="B22" s="252" t="s">
        <v>30</v>
      </c>
      <c r="C22" s="253"/>
      <c r="D22" s="262">
        <f>'Hidden_Control Sheet'!B14</f>
        <v>0</v>
      </c>
      <c r="E22" s="263"/>
      <c r="F22" s="251" t="s">
        <v>24</v>
      </c>
      <c r="G22" s="251"/>
      <c r="H22" s="251"/>
      <c r="I22" s="214">
        <f>B17</f>
        <v>5</v>
      </c>
    </row>
    <row r="23" spans="1:24" ht="14" customHeight="1" x14ac:dyDescent="0.15">
      <c r="A23" s="3"/>
      <c r="B23" s="252" t="s">
        <v>31</v>
      </c>
      <c r="C23" s="253"/>
      <c r="D23" s="262">
        <f>Price_of_Purchase-D24</f>
        <v>-10000</v>
      </c>
      <c r="E23" s="263"/>
      <c r="F23" s="251" t="s">
        <v>25</v>
      </c>
      <c r="G23" s="251"/>
      <c r="H23" s="251"/>
      <c r="I23" s="214">
        <v>12</v>
      </c>
    </row>
    <row r="24" spans="1:24" ht="14" customHeight="1" x14ac:dyDescent="0.15">
      <c r="A24" s="3"/>
      <c r="B24" s="252" t="s">
        <v>23</v>
      </c>
      <c r="C24" s="253"/>
      <c r="D24" s="262">
        <f>B14</f>
        <v>10000</v>
      </c>
      <c r="E24" s="263"/>
      <c r="F24" s="251" t="s">
        <v>26</v>
      </c>
      <c r="G24" s="251"/>
      <c r="H24" s="251"/>
      <c r="I24" s="214">
        <f>I23*I22</f>
        <v>60</v>
      </c>
    </row>
    <row r="25" spans="1:24" ht="14" customHeight="1" x14ac:dyDescent="0.15">
      <c r="A25" s="3"/>
      <c r="B25" s="252"/>
      <c r="C25" s="253"/>
      <c r="D25" s="4"/>
      <c r="E25" s="4"/>
      <c r="I25" s="215"/>
    </row>
    <row r="26" spans="1:24" ht="14" hidden="1" customHeight="1" x14ac:dyDescent="0.15">
      <c r="A26" s="3"/>
      <c r="B26" s="252" t="s">
        <v>233</v>
      </c>
      <c r="C26" s="253"/>
      <c r="D26" s="254" t="str">
        <f ca="1">IFERROR(RATE(Scheduled_Number_of_Payments,Monthly_Payment,-D24),"CHECK PARAMETERS")</f>
        <v>CHECK PARAMETERS</v>
      </c>
      <c r="E26" s="255"/>
      <c r="F26" s="137"/>
      <c r="G26" s="137"/>
      <c r="H26" s="137"/>
      <c r="I26" s="216"/>
    </row>
    <row r="27" spans="1:24" ht="14" customHeight="1" x14ac:dyDescent="0.15">
      <c r="A27" s="3"/>
      <c r="B27" s="252" t="s">
        <v>231</v>
      </c>
      <c r="C27" s="253"/>
      <c r="D27" s="254" t="str">
        <f ca="1">IFERROR(MAX(IFERROR(EFFECT(Monthly_Interest_Rate*12,12),"CHECK PARAMETERS")*0.4,'Hidden_Control Sheet'!B37),"CHECK PARAMETERS")</f>
        <v>CHECK PARAMETERS</v>
      </c>
      <c r="E27" s="255"/>
      <c r="F27" s="251" t="s">
        <v>28</v>
      </c>
      <c r="G27" s="251"/>
      <c r="H27" s="251"/>
      <c r="I27" s="216">
        <v>44867</v>
      </c>
    </row>
    <row r="28" spans="1:24" ht="14" customHeight="1" x14ac:dyDescent="0.15">
      <c r="A28" s="3"/>
      <c r="B28" s="217"/>
      <c r="C28" s="218" t="s">
        <v>232</v>
      </c>
      <c r="D28" s="254" t="str">
        <f ca="1">IFERROR(EFFECT(Monthly_Interest_Rate*12,12),"CHECK PARAMETERS")</f>
        <v>CHECK PARAMETERS</v>
      </c>
      <c r="E28" s="255"/>
      <c r="F28" s="251" t="s">
        <v>29</v>
      </c>
      <c r="G28" s="251"/>
      <c r="H28" s="251"/>
      <c r="I28" s="216">
        <f>MAX(_xlfn.ANCHORARRAY(B53))</f>
        <v>46662</v>
      </c>
    </row>
    <row r="29" spans="1:24" ht="14" customHeight="1" x14ac:dyDescent="0.15">
      <c r="A29" s="3"/>
      <c r="B29" s="219"/>
      <c r="C29" s="220"/>
      <c r="D29" s="220"/>
      <c r="E29" s="221"/>
      <c r="F29" s="220"/>
      <c r="G29" s="222"/>
      <c r="H29" s="222"/>
      <c r="I29" s="223"/>
    </row>
    <row r="30" spans="1:24" ht="14" customHeight="1" x14ac:dyDescent="0.15">
      <c r="A30" s="3"/>
      <c r="B30" s="6"/>
      <c r="C30" s="6"/>
      <c r="D30" s="6"/>
      <c r="E30" s="6"/>
      <c r="F30" s="6"/>
    </row>
    <row r="31" spans="1:24" s="138" customFormat="1" ht="20" customHeight="1" x14ac:dyDescent="0.15">
      <c r="C31" s="250" t="s">
        <v>27</v>
      </c>
      <c r="D31" s="250"/>
      <c r="E31" s="250"/>
      <c r="F31" s="256" t="e" cm="1">
        <f t="array" aca="1" ref="F31" ca="1">IF(B17&lt;Hidden_Filter!D4,"CHECK PARAMETERS",IFERROR(_xlfn.XLOOKUP(B14,_xlfn.ANCHORARRAY('Hidden_Control Sheet'!C41),_xlfn.XLOOKUP(B17,_xlfn.ANCHORARRAY('Hidden_Control Sheet'!A43),_xlfn.ANCHORARRAY('Hidden_Control Sheet'!C43),0)),"CHECK PARAMENTERS"))</f>
        <v>#N/A</v>
      </c>
      <c r="G31" s="257"/>
      <c r="J31" s="139"/>
      <c r="K31" s="139"/>
      <c r="L31" s="140"/>
      <c r="X31" s="139"/>
    </row>
    <row r="32" spans="1:24" ht="14" customHeight="1" x14ac:dyDescent="0.15">
      <c r="A32" s="4"/>
      <c r="B32" s="4"/>
      <c r="C32" s="4"/>
      <c r="D32" s="4"/>
      <c r="E32" s="4"/>
      <c r="F32" s="4"/>
      <c r="G32" s="4"/>
      <c r="H32" s="4"/>
      <c r="I32" s="4"/>
    </row>
    <row r="33" spans="1:24" ht="14" customHeight="1" x14ac:dyDescent="0.15">
      <c r="A33" s="4"/>
      <c r="B33" s="4"/>
      <c r="C33" s="4"/>
      <c r="D33" s="4"/>
      <c r="H33" s="4"/>
      <c r="I33" s="4"/>
    </row>
    <row r="34" spans="1:24" ht="14" customHeight="1" x14ac:dyDescent="0.15">
      <c r="A34" s="4"/>
      <c r="B34" s="4"/>
      <c r="C34" s="235" t="s">
        <v>57</v>
      </c>
      <c r="D34" s="235"/>
      <c r="E34" s="235"/>
      <c r="F34" s="236" t="str">
        <f ca="1">IF(D27="CHECK PARAMETERS","CHECK PARAMETERS",Price_of_Purchase)</f>
        <v>CHECK PARAMETERS</v>
      </c>
      <c r="G34" s="237"/>
      <c r="H34" s="4"/>
      <c r="I34" s="4"/>
    </row>
    <row r="35" spans="1:24" ht="14" customHeight="1" x14ac:dyDescent="0.15">
      <c r="A35" s="4"/>
      <c r="B35" s="4"/>
      <c r="C35" s="235" t="s">
        <v>238</v>
      </c>
      <c r="D35" s="235"/>
      <c r="E35" s="235"/>
      <c r="F35" s="236" t="e">
        <f ca="1">IF(Monthly_Payment="CHECK PARAMETERS","CHECK PARAMETERS",IFERROR(SUM(_xlfn.ANCHORARRAY(X53))+D45,SUM(_xlfn.ANCHORARRAY(X53))))</f>
        <v>#N/A</v>
      </c>
      <c r="G35" s="237"/>
      <c r="H35" s="4"/>
      <c r="I35" s="4"/>
    </row>
    <row r="36" spans="1:24" ht="14" customHeight="1" x14ac:dyDescent="0.15">
      <c r="A36" s="4"/>
      <c r="B36" s="4"/>
      <c r="C36" s="235" t="s">
        <v>239</v>
      </c>
      <c r="D36" s="235"/>
      <c r="E36" s="235"/>
      <c r="F36" s="236" t="str">
        <f ca="1">IFERROR(F34+F35,"CHECK PARAMETERS")</f>
        <v>CHECK PARAMETERS</v>
      </c>
      <c r="G36" s="237"/>
      <c r="H36" s="4"/>
      <c r="I36" s="4"/>
    </row>
    <row r="37" spans="1:24" ht="20" customHeight="1" x14ac:dyDescent="0.2">
      <c r="A37" s="4"/>
      <c r="B37" s="258" t="e">
        <f ca="1">IF(Monthly_Payment="CHECK PARAMETERS","Please verify the value of the loan and the period in years, the current combination is not accepted","")</f>
        <v>#N/A</v>
      </c>
      <c r="C37" s="258"/>
      <c r="D37" s="258"/>
      <c r="E37" s="258"/>
      <c r="F37" s="258"/>
      <c r="G37" s="258"/>
      <c r="H37" s="258"/>
      <c r="I37" s="258"/>
    </row>
    <row r="38" spans="1:24" ht="31.5" customHeight="1" x14ac:dyDescent="0.15">
      <c r="D38" s="4"/>
      <c r="E38" s="4"/>
      <c r="F38" s="4"/>
      <c r="G38" s="4"/>
      <c r="H38" s="4"/>
      <c r="I38" s="4"/>
    </row>
    <row r="39" spans="1:24" s="142" customFormat="1" ht="21" customHeight="1" x14ac:dyDescent="0.15">
      <c r="A39" s="142" t="s">
        <v>208</v>
      </c>
      <c r="B39" s="143"/>
      <c r="C39" s="143"/>
      <c r="D39" s="144"/>
      <c r="G39" s="188" t="s">
        <v>13</v>
      </c>
      <c r="H39" s="145"/>
      <c r="I39" s="145"/>
      <c r="J39" s="145"/>
      <c r="K39" s="145"/>
      <c r="L39" s="146"/>
      <c r="X39" s="145"/>
    </row>
    <row r="40" spans="1:24" s="148" customFormat="1" ht="20.5" customHeight="1" x14ac:dyDescent="0.15">
      <c r="A40" s="147" t="str">
        <f>IF(G39="yes","Select a date for the early payment:","")</f>
        <v/>
      </c>
      <c r="D40" s="246"/>
      <c r="E40" s="246"/>
      <c r="G40" s="247" t="s">
        <v>212</v>
      </c>
      <c r="H40" s="247"/>
      <c r="I40" s="247"/>
      <c r="J40" s="247"/>
      <c r="K40" s="149"/>
      <c r="L40" s="150"/>
    </row>
    <row r="41" spans="1:24" s="152" customFormat="1" ht="14" customHeight="1" x14ac:dyDescent="0.15">
      <c r="A41" s="151"/>
      <c r="G41" s="239" t="s">
        <v>209</v>
      </c>
      <c r="H41" s="239"/>
      <c r="I41" s="239"/>
      <c r="J41" s="224">
        <v>0.03</v>
      </c>
      <c r="K41" s="107">
        <v>0</v>
      </c>
      <c r="L41" s="153"/>
      <c r="O41" s="151"/>
      <c r="X41" s="155"/>
    </row>
    <row r="42" spans="1:24" s="152" customFormat="1" ht="14" customHeight="1" x14ac:dyDescent="0.15">
      <c r="A42" s="238" t="str">
        <f>IF($A$40="","","Total Amount Payed")</f>
        <v/>
      </c>
      <c r="B42" s="238"/>
      <c r="C42" s="238"/>
      <c r="D42" s="244" t="str" cm="1">
        <f t="array" aca="1" ref="D42" ca="1">IFERROR(_xlfn.XLOOKUP(D40,_xlfn.ANCHORARRAY(B53),_xlfn.ANCHORARRAY(A53),"")*D53,"")</f>
        <v/>
      </c>
      <c r="E42" s="244"/>
      <c r="G42" s="239" t="s">
        <v>210</v>
      </c>
      <c r="H42" s="239"/>
      <c r="I42" s="239"/>
      <c r="J42" s="224">
        <v>0.02</v>
      </c>
      <c r="K42" s="107">
        <v>2</v>
      </c>
      <c r="L42" s="154"/>
      <c r="M42" s="154"/>
      <c r="N42" s="154"/>
      <c r="X42" s="155"/>
    </row>
    <row r="43" spans="1:24" s="152" customFormat="1" ht="14" customHeight="1" x14ac:dyDescent="0.15">
      <c r="A43" s="238" t="str">
        <f>IF($A$40="","","Number of advanced payments ")</f>
        <v/>
      </c>
      <c r="B43" s="238"/>
      <c r="C43" s="238"/>
      <c r="D43" s="245" t="str" cm="1">
        <f t="array" ref="D43">IFERROR(Scheduled_Number_of_Payments-_xlfn.XLOOKUP(D40,_xlfn.ANCHORARRAY(B53),_xlfn.ANCHORARRAY(A53),""),"")</f>
        <v/>
      </c>
      <c r="E43" s="245"/>
      <c r="F43" s="151"/>
      <c r="G43" s="240" t="s">
        <v>211</v>
      </c>
      <c r="H43" s="240"/>
      <c r="I43" s="240"/>
      <c r="J43" s="224">
        <v>0.01</v>
      </c>
      <c r="K43" s="107">
        <v>5</v>
      </c>
      <c r="L43" s="153"/>
      <c r="X43" s="155"/>
    </row>
    <row r="44" spans="1:24" s="152" customFormat="1" ht="14" customHeight="1" x14ac:dyDescent="0.15">
      <c r="A44" s="238" t="str">
        <f>IF($A$40="","","Early Payment")</f>
        <v/>
      </c>
      <c r="B44" s="238"/>
      <c r="C44" s="238"/>
      <c r="D44" s="244" t="str">
        <f ca="1">IFERROR(PV(Monthly_Interest_Rate,D43,-Monthly_Payment),"")</f>
        <v/>
      </c>
      <c r="E44" s="244"/>
      <c r="F44" s="151"/>
      <c r="G44" s="241"/>
      <c r="H44" s="241"/>
      <c r="I44" s="241"/>
      <c r="J44" s="107"/>
      <c r="K44" s="107"/>
      <c r="L44" s="153"/>
      <c r="X44" s="107"/>
    </row>
    <row r="45" spans="1:24" s="152" customFormat="1" ht="14" customHeight="1" x14ac:dyDescent="0.15">
      <c r="A45" s="238" t="str">
        <f>IF($A$40="","","Penalty")</f>
        <v/>
      </c>
      <c r="B45" s="238"/>
      <c r="C45" s="238"/>
      <c r="D45" s="244" t="str">
        <f ca="1">IFERROR(D44*_xlfn.XLOOKUP((Scheduled_Number_of_Payments-D43)/12,K41:K43,J41:J43,,-1),"")</f>
        <v/>
      </c>
      <c r="E45" s="244"/>
      <c r="F45" s="151"/>
      <c r="G45" s="242" t="s">
        <v>34</v>
      </c>
      <c r="H45" s="242"/>
      <c r="I45" s="243" t="str">
        <f ca="1">IFERROR(D44+D45,"")</f>
        <v/>
      </c>
      <c r="J45" s="243"/>
      <c r="K45" s="107"/>
      <c r="L45" s="153"/>
    </row>
    <row r="46" spans="1:24" s="152" customFormat="1" ht="25.5" customHeight="1" x14ac:dyDescent="0.15">
      <c r="A46" s="147" t="str">
        <f>IF(AND(G39="yes",D40&lt;&gt;""),"Note: You can verify the early payment in the Payment Schedule","")</f>
        <v/>
      </c>
      <c r="B46" s="209"/>
      <c r="C46" s="151"/>
      <c r="D46" s="151"/>
      <c r="E46" s="151"/>
      <c r="F46" s="151"/>
      <c r="G46" s="107"/>
      <c r="H46" s="107"/>
      <c r="I46" s="107"/>
      <c r="J46" s="107"/>
      <c r="K46" s="107"/>
      <c r="L46" s="153"/>
      <c r="X46" s="107"/>
    </row>
    <row r="47" spans="1:24" ht="14" customHeight="1" x14ac:dyDescent="0.15">
      <c r="A47" s="3"/>
      <c r="B47" s="6"/>
      <c r="C47" s="6"/>
      <c r="D47" s="6"/>
      <c r="E47" s="6"/>
      <c r="F47" s="6"/>
      <c r="L47" s="248"/>
      <c r="M47" s="248"/>
      <c r="N47" s="248"/>
    </row>
    <row r="48" spans="1:24" ht="14" customHeight="1" x14ac:dyDescent="0.15">
      <c r="A48" s="3"/>
      <c r="B48" s="6"/>
      <c r="C48" s="6"/>
      <c r="D48" s="6"/>
      <c r="E48" s="6"/>
      <c r="F48" s="6"/>
    </row>
    <row r="49" spans="1:24" ht="14" customHeight="1" x14ac:dyDescent="0.15">
      <c r="B49" s="6"/>
      <c r="C49" s="6"/>
      <c r="D49" s="6"/>
      <c r="E49" s="6"/>
      <c r="F49" s="6"/>
    </row>
    <row r="50" spans="1:24" ht="14" customHeight="1" x14ac:dyDescent="0.15">
      <c r="A50" s="190" t="s">
        <v>234</v>
      </c>
      <c r="B50" s="6"/>
      <c r="C50" s="6"/>
      <c r="D50" s="6"/>
      <c r="E50" s="6"/>
      <c r="F50" s="6"/>
    </row>
    <row r="51" spans="1:24" ht="14" customHeight="1" x14ac:dyDescent="0.15">
      <c r="B51" s="6"/>
      <c r="C51" s="6"/>
      <c r="D51" s="6"/>
      <c r="G51" s="249" t="s">
        <v>36</v>
      </c>
      <c r="H51" s="249"/>
      <c r="I51" s="249"/>
      <c r="J51" s="4"/>
      <c r="K51" s="9"/>
      <c r="L51" s="4"/>
      <c r="X51" s="4"/>
    </row>
    <row r="52" spans="1:24" ht="28" customHeight="1" x14ac:dyDescent="0.15">
      <c r="A52" s="156" t="s">
        <v>37</v>
      </c>
      <c r="B52" s="156" t="s">
        <v>17</v>
      </c>
      <c r="C52" s="156" t="s">
        <v>18</v>
      </c>
      <c r="D52" s="156" t="s">
        <v>19</v>
      </c>
      <c r="E52" s="157" t="s">
        <v>21</v>
      </c>
      <c r="F52" s="157" t="s">
        <v>20</v>
      </c>
      <c r="G52" s="156" t="s">
        <v>33</v>
      </c>
      <c r="H52" s="156" t="s">
        <v>32</v>
      </c>
      <c r="I52" s="156" t="s">
        <v>35</v>
      </c>
      <c r="J52" s="157" t="s">
        <v>22</v>
      </c>
      <c r="K52" s="4"/>
      <c r="L52" s="4"/>
      <c r="X52" s="157"/>
    </row>
    <row r="53" spans="1:24" ht="14" customHeight="1" x14ac:dyDescent="0.15">
      <c r="A53" s="6" cm="1">
        <f t="array" ref="A53:A112">_xlfn.SEQUENCE(Scheduled_Number_of_Payments)</f>
        <v>1</v>
      </c>
      <c r="B53" s="7" cm="1">
        <f t="array" ref="B53:B112">IFERROR(EDATE(Start_Loan_Date,_xlfn.ANCHORARRAY(A53)-1),"")</f>
        <v>44867</v>
      </c>
      <c r="C53" s="5" t="str" cm="1">
        <f t="array" aca="1" ref="C53:C112" ca="1">IFERROR(IF(_xlfn.ANCHORARRAY(A53)&gt;_xlfn.XLOOKUP(D40,_xlfn.ANCHORARRAY(B53),_xlfn.ANCHORARRAY(A53),""),"",PV(Monthly_Interest_Rate,Scheduled_Number_of_Payments-_xlfn.ANCHORARRAY(A53)+1,-Monthly_Payment)),"")</f>
        <v/>
      </c>
      <c r="D53" s="5" t="str" cm="1">
        <f t="array" aca="1" ref="D53:D112" ca="1">IFERROR(IF(_xlfn.ANCHORARRAY(A53)&gt;_xlfn.XLOOKUP(D40,_xlfn.ANCHORARRAY(B53),_xlfn.ANCHORARRAY(A53),""),"Early Payment",_xlfn.ANCHORARRAY(A53)/_xlfn.ANCHORARRAY(A53)*Monthly_Payment),"")</f>
        <v/>
      </c>
      <c r="E53" s="5" t="str" cm="1">
        <f t="array" aca="1" ref="E53:E112" ca="1">IFERROR(_xlfn.ANCHORARRAY(C53)*Monthly_Interest_Rate,"")</f>
        <v/>
      </c>
      <c r="F53" s="5" t="str" cm="1">
        <f t="array" aca="1" ref="F53:F112" ca="1">IFERROR(_xlfn.ANCHORARRAY(D53)-_xlfn.ANCHORARRAY(E53),"")</f>
        <v/>
      </c>
      <c r="G53" s="5" t="str" cm="1">
        <f t="array" aca="1" ref="G53:G112" ca="1">IF(_xlfn.XLOOKUP(D40,_xlfn.ANCHORARRAY(B53),_xlfn.ANCHORARRAY(A53),"")=_xlfn.ANCHORARRAY(A53),D44,"")</f>
        <v/>
      </c>
      <c r="H53" s="5" t="str" cm="1">
        <f t="array" aca="1" ref="H53:H112" ca="1">IF(_xlfn.XLOOKUP(D40,_xlfn.ANCHORARRAY(B53),_xlfn.ANCHORARRAY(A53),"")=_xlfn.ANCHORARRAY(A53),D45,"")</f>
        <v/>
      </c>
      <c r="I53" s="5" t="str" cm="1">
        <f t="array" aca="1" ref="I53:I112" ca="1">IFERROR(_xlfn.ANCHORARRAY(G53)+_xlfn.ANCHORARRAY(H53)+F53,"")</f>
        <v/>
      </c>
      <c r="J53" s="9" t="str" cm="1">
        <f t="array" aca="1" ref="J53:J112" ca="1">IFERROR(IF(_xlfn.ANCHORARRAY(G53)&lt;&gt;"",0,_xlfn.ANCHORARRAY(C53)-_xlfn.ANCHORARRAY(F53)),"")</f>
        <v/>
      </c>
      <c r="X53" s="9" cm="1">
        <f t="array" aca="1" ref="X53:X112" ca="1">IFERROR(PV(Monthly_Interest_Rate,A53,,-_xlfn.ANCHORARRAY(E53)),0)</f>
        <v>0</v>
      </c>
    </row>
    <row r="54" spans="1:24" ht="14" customHeight="1" x14ac:dyDescent="0.15">
      <c r="A54" s="6">
        <v>2</v>
      </c>
      <c r="B54" s="7">
        <v>44897</v>
      </c>
      <c r="C54" s="5" t="str">
        <f ca="1"/>
        <v/>
      </c>
      <c r="D54" s="5" t="str">
        <f ca="1"/>
        <v/>
      </c>
      <c r="E54" s="5" t="str">
        <f ca="1"/>
        <v/>
      </c>
      <c r="F54" s="5" t="str">
        <f ca="1"/>
        <v/>
      </c>
      <c r="G54" s="5" t="str">
        <f ca="1"/>
        <v/>
      </c>
      <c r="H54" s="5" t="str">
        <f ca="1"/>
        <v/>
      </c>
      <c r="I54" s="5" t="str">
        <f ca="1"/>
        <v/>
      </c>
      <c r="J54" s="9" t="str">
        <f ca="1"/>
        <v/>
      </c>
      <c r="K54" s="9"/>
      <c r="X54" s="9">
        <f ca="1"/>
        <v>0</v>
      </c>
    </row>
    <row r="55" spans="1:24" ht="14" customHeight="1" x14ac:dyDescent="0.15">
      <c r="A55" s="6">
        <v>3</v>
      </c>
      <c r="B55" s="7">
        <v>44928</v>
      </c>
      <c r="C55" s="5" t="str">
        <f ca="1"/>
        <v/>
      </c>
      <c r="D55" s="5" t="str">
        <f ca="1"/>
        <v/>
      </c>
      <c r="E55" s="5" t="str">
        <f ca="1"/>
        <v/>
      </c>
      <c r="F55" s="5" t="str">
        <f ca="1"/>
        <v/>
      </c>
      <c r="G55" s="5" t="str">
        <f ca="1"/>
        <v/>
      </c>
      <c r="H55" s="5" t="str">
        <f ca="1"/>
        <v/>
      </c>
      <c r="I55" s="5" t="str">
        <f ca="1"/>
        <v/>
      </c>
      <c r="J55" s="9" t="str">
        <f ca="1"/>
        <v/>
      </c>
      <c r="K55" s="9"/>
      <c r="X55" s="9">
        <f ca="1"/>
        <v>0</v>
      </c>
    </row>
    <row r="56" spans="1:24" ht="14" customHeight="1" x14ac:dyDescent="0.15">
      <c r="A56" s="6">
        <v>4</v>
      </c>
      <c r="B56" s="7">
        <v>44959</v>
      </c>
      <c r="C56" s="5" t="str">
        <f ca="1"/>
        <v/>
      </c>
      <c r="D56" s="5" t="str">
        <f ca="1"/>
        <v/>
      </c>
      <c r="E56" s="5" t="str">
        <f ca="1"/>
        <v/>
      </c>
      <c r="F56" s="5" t="str">
        <f ca="1"/>
        <v/>
      </c>
      <c r="G56" s="5" t="str">
        <f ca="1"/>
        <v/>
      </c>
      <c r="H56" s="5" t="str">
        <f ca="1"/>
        <v/>
      </c>
      <c r="I56" s="5" t="str">
        <f ca="1"/>
        <v/>
      </c>
      <c r="J56" s="9" t="str">
        <f ca="1"/>
        <v/>
      </c>
      <c r="K56" s="9"/>
      <c r="X56" s="9">
        <f ca="1"/>
        <v>0</v>
      </c>
    </row>
    <row r="57" spans="1:24" ht="14" customHeight="1" x14ac:dyDescent="0.15">
      <c r="A57" s="6">
        <v>5</v>
      </c>
      <c r="B57" s="7">
        <v>44987</v>
      </c>
      <c r="C57" s="5" t="str">
        <f ca="1"/>
        <v/>
      </c>
      <c r="D57" s="5" t="str">
        <f ca="1"/>
        <v/>
      </c>
      <c r="E57" s="5" t="str">
        <f ca="1"/>
        <v/>
      </c>
      <c r="F57" s="5" t="str">
        <f ca="1"/>
        <v/>
      </c>
      <c r="G57" s="5" t="str">
        <f ca="1"/>
        <v/>
      </c>
      <c r="H57" s="5" t="str">
        <f ca="1"/>
        <v/>
      </c>
      <c r="I57" s="5" t="str">
        <f ca="1"/>
        <v/>
      </c>
      <c r="J57" s="9" t="str">
        <f ca="1"/>
        <v/>
      </c>
      <c r="K57" s="9"/>
      <c r="X57" s="9">
        <f ca="1"/>
        <v>0</v>
      </c>
    </row>
    <row r="58" spans="1:24" ht="14" customHeight="1" x14ac:dyDescent="0.15">
      <c r="A58" s="6">
        <v>6</v>
      </c>
      <c r="B58" s="7">
        <v>45018</v>
      </c>
      <c r="C58" s="5" t="str">
        <f ca="1"/>
        <v/>
      </c>
      <c r="D58" s="5" t="str">
        <f ca="1"/>
        <v/>
      </c>
      <c r="E58" s="5" t="str">
        <f ca="1"/>
        <v/>
      </c>
      <c r="F58" s="5" t="str">
        <f ca="1"/>
        <v/>
      </c>
      <c r="G58" s="5" t="str">
        <f ca="1"/>
        <v/>
      </c>
      <c r="H58" s="5" t="str">
        <f ca="1"/>
        <v/>
      </c>
      <c r="I58" s="5" t="str">
        <f ca="1"/>
        <v/>
      </c>
      <c r="J58" s="9" t="str">
        <f ca="1"/>
        <v/>
      </c>
      <c r="K58" s="9"/>
      <c r="X58" s="9">
        <f ca="1"/>
        <v>0</v>
      </c>
    </row>
    <row r="59" spans="1:24" ht="14" customHeight="1" x14ac:dyDescent="0.15">
      <c r="A59" s="6">
        <v>7</v>
      </c>
      <c r="B59" s="7">
        <v>45048</v>
      </c>
      <c r="C59" s="5" t="str">
        <f ca="1"/>
        <v/>
      </c>
      <c r="D59" s="5" t="str">
        <f ca="1"/>
        <v/>
      </c>
      <c r="E59" s="5" t="str">
        <f ca="1"/>
        <v/>
      </c>
      <c r="F59" s="5" t="str">
        <f ca="1"/>
        <v/>
      </c>
      <c r="G59" s="5" t="str">
        <f ca="1"/>
        <v/>
      </c>
      <c r="H59" s="5" t="str">
        <f ca="1"/>
        <v/>
      </c>
      <c r="I59" s="5" t="str">
        <f ca="1"/>
        <v/>
      </c>
      <c r="J59" s="9" t="str">
        <f ca="1"/>
        <v/>
      </c>
      <c r="K59" s="9"/>
      <c r="X59" s="9">
        <f ca="1"/>
        <v>0</v>
      </c>
    </row>
    <row r="60" spans="1:24" ht="14" customHeight="1" x14ac:dyDescent="0.15">
      <c r="A60" s="6">
        <v>8</v>
      </c>
      <c r="B60" s="7">
        <v>45079</v>
      </c>
      <c r="C60" s="5" t="str">
        <f ca="1"/>
        <v/>
      </c>
      <c r="D60" s="5" t="str">
        <f ca="1"/>
        <v/>
      </c>
      <c r="E60" s="5" t="str">
        <f ca="1"/>
        <v/>
      </c>
      <c r="F60" s="5" t="str">
        <f ca="1"/>
        <v/>
      </c>
      <c r="G60" s="5" t="str">
        <f ca="1"/>
        <v/>
      </c>
      <c r="H60" s="5" t="str">
        <f ca="1"/>
        <v/>
      </c>
      <c r="I60" s="5" t="str">
        <f ca="1"/>
        <v/>
      </c>
      <c r="J60" s="9" t="str">
        <f ca="1"/>
        <v/>
      </c>
      <c r="K60" s="9"/>
      <c r="X60" s="9">
        <f ca="1"/>
        <v>0</v>
      </c>
    </row>
    <row r="61" spans="1:24" ht="14" customHeight="1" x14ac:dyDescent="0.15">
      <c r="A61" s="6">
        <v>9</v>
      </c>
      <c r="B61" s="7">
        <v>45109</v>
      </c>
      <c r="C61" s="5" t="str">
        <f ca="1"/>
        <v/>
      </c>
      <c r="D61" s="5" t="str">
        <f ca="1"/>
        <v/>
      </c>
      <c r="E61" s="5" t="str">
        <f ca="1"/>
        <v/>
      </c>
      <c r="F61" s="5" t="str">
        <f ca="1"/>
        <v/>
      </c>
      <c r="G61" s="5" t="str">
        <f ca="1"/>
        <v/>
      </c>
      <c r="H61" s="5" t="str">
        <f ca="1"/>
        <v/>
      </c>
      <c r="I61" s="5" t="str">
        <f ca="1"/>
        <v/>
      </c>
      <c r="J61" s="9" t="str">
        <f ca="1"/>
        <v/>
      </c>
      <c r="K61" s="9"/>
      <c r="X61" s="9">
        <f ca="1"/>
        <v>0</v>
      </c>
    </row>
    <row r="62" spans="1:24" ht="14" customHeight="1" x14ac:dyDescent="0.15">
      <c r="A62" s="6">
        <v>10</v>
      </c>
      <c r="B62" s="7">
        <v>45140</v>
      </c>
      <c r="C62" s="5" t="str">
        <f ca="1"/>
        <v/>
      </c>
      <c r="D62" s="5" t="str">
        <f ca="1"/>
        <v/>
      </c>
      <c r="E62" s="5" t="str">
        <f ca="1"/>
        <v/>
      </c>
      <c r="F62" s="5" t="str">
        <f ca="1"/>
        <v/>
      </c>
      <c r="G62" s="5" t="str">
        <f ca="1"/>
        <v/>
      </c>
      <c r="H62" s="5" t="str">
        <f ca="1"/>
        <v/>
      </c>
      <c r="I62" s="5" t="str">
        <f ca="1"/>
        <v/>
      </c>
      <c r="J62" s="9" t="str">
        <f ca="1"/>
        <v/>
      </c>
      <c r="K62" s="9"/>
      <c r="X62" s="9">
        <f ca="1"/>
        <v>0</v>
      </c>
    </row>
    <row r="63" spans="1:24" ht="14" customHeight="1" x14ac:dyDescent="0.15">
      <c r="A63" s="6">
        <v>11</v>
      </c>
      <c r="B63" s="7">
        <v>45171</v>
      </c>
      <c r="C63" s="5" t="str">
        <f ca="1"/>
        <v/>
      </c>
      <c r="D63" s="5" t="str">
        <f ca="1"/>
        <v/>
      </c>
      <c r="E63" s="5" t="str">
        <f ca="1"/>
        <v/>
      </c>
      <c r="F63" s="5" t="str">
        <f ca="1"/>
        <v/>
      </c>
      <c r="G63" s="5" t="str">
        <f ca="1"/>
        <v/>
      </c>
      <c r="H63" s="5" t="str">
        <f ca="1"/>
        <v/>
      </c>
      <c r="I63" s="5" t="str">
        <f ca="1"/>
        <v/>
      </c>
      <c r="J63" s="9" t="str">
        <f ca="1"/>
        <v/>
      </c>
      <c r="K63" s="9"/>
      <c r="X63" s="9">
        <f ca="1"/>
        <v>0</v>
      </c>
    </row>
    <row r="64" spans="1:24" ht="14" customHeight="1" x14ac:dyDescent="0.15">
      <c r="A64" s="6">
        <v>12</v>
      </c>
      <c r="B64" s="7">
        <v>45201</v>
      </c>
      <c r="C64" s="5" t="str">
        <f ca="1"/>
        <v/>
      </c>
      <c r="D64" s="5" t="str">
        <f ca="1"/>
        <v/>
      </c>
      <c r="E64" s="5" t="str">
        <f ca="1"/>
        <v/>
      </c>
      <c r="F64" s="5" t="str">
        <f ca="1"/>
        <v/>
      </c>
      <c r="G64" s="5" t="str">
        <f ca="1"/>
        <v/>
      </c>
      <c r="H64" s="5" t="str">
        <f ca="1"/>
        <v/>
      </c>
      <c r="I64" s="5" t="str">
        <f ca="1"/>
        <v/>
      </c>
      <c r="J64" s="9" t="str">
        <f ca="1"/>
        <v/>
      </c>
      <c r="K64" s="9"/>
      <c r="X64" s="9">
        <f ca="1"/>
        <v>0</v>
      </c>
    </row>
    <row r="65" spans="1:24" ht="14" customHeight="1" x14ac:dyDescent="0.15">
      <c r="A65" s="6">
        <v>13</v>
      </c>
      <c r="B65" s="7">
        <v>45232</v>
      </c>
      <c r="C65" s="5" t="str">
        <f ca="1"/>
        <v/>
      </c>
      <c r="D65" s="5" t="str">
        <f ca="1"/>
        <v/>
      </c>
      <c r="E65" s="5" t="str">
        <f ca="1"/>
        <v/>
      </c>
      <c r="F65" s="5" t="str">
        <f ca="1"/>
        <v/>
      </c>
      <c r="G65" s="5" t="str">
        <f ca="1"/>
        <v/>
      </c>
      <c r="H65" s="5" t="str">
        <f ca="1"/>
        <v/>
      </c>
      <c r="I65" s="5" t="str">
        <f ca="1"/>
        <v/>
      </c>
      <c r="J65" s="9" t="str">
        <f ca="1"/>
        <v/>
      </c>
      <c r="K65" s="9"/>
      <c r="X65" s="9">
        <f ca="1"/>
        <v>0</v>
      </c>
    </row>
    <row r="66" spans="1:24" ht="14" customHeight="1" x14ac:dyDescent="0.15">
      <c r="A66" s="6">
        <v>14</v>
      </c>
      <c r="B66" s="7">
        <v>45262</v>
      </c>
      <c r="C66" s="5" t="str">
        <f ca="1"/>
        <v/>
      </c>
      <c r="D66" s="5" t="str">
        <f ca="1"/>
        <v/>
      </c>
      <c r="E66" s="5" t="str">
        <f ca="1"/>
        <v/>
      </c>
      <c r="F66" s="5" t="str">
        <f ca="1"/>
        <v/>
      </c>
      <c r="G66" s="5" t="str">
        <f ca="1"/>
        <v/>
      </c>
      <c r="H66" s="5" t="str">
        <f ca="1"/>
        <v/>
      </c>
      <c r="I66" s="5" t="str">
        <f ca="1"/>
        <v/>
      </c>
      <c r="J66" s="9" t="str">
        <f ca="1"/>
        <v/>
      </c>
      <c r="K66" s="9"/>
      <c r="X66" s="9">
        <f ca="1"/>
        <v>0</v>
      </c>
    </row>
    <row r="67" spans="1:24" ht="14" customHeight="1" x14ac:dyDescent="0.15">
      <c r="A67" s="6">
        <v>15</v>
      </c>
      <c r="B67" s="7">
        <v>45293</v>
      </c>
      <c r="C67" s="5" t="str">
        <f ca="1"/>
        <v/>
      </c>
      <c r="D67" s="5" t="str">
        <f ca="1"/>
        <v/>
      </c>
      <c r="E67" s="5" t="str">
        <f ca="1"/>
        <v/>
      </c>
      <c r="F67" s="5" t="str">
        <f ca="1"/>
        <v/>
      </c>
      <c r="G67" s="5" t="str">
        <f ca="1"/>
        <v/>
      </c>
      <c r="H67" s="5" t="str">
        <f ca="1"/>
        <v/>
      </c>
      <c r="I67" s="5" t="str">
        <f ca="1"/>
        <v/>
      </c>
      <c r="J67" s="9" t="str">
        <f ca="1"/>
        <v/>
      </c>
      <c r="K67" s="9"/>
      <c r="X67" s="9">
        <f ca="1"/>
        <v>0</v>
      </c>
    </row>
    <row r="68" spans="1:24" ht="14" customHeight="1" x14ac:dyDescent="0.15">
      <c r="A68" s="6">
        <v>16</v>
      </c>
      <c r="B68" s="7">
        <v>45324</v>
      </c>
      <c r="C68" s="5" t="str">
        <f ca="1"/>
        <v/>
      </c>
      <c r="D68" s="5" t="str">
        <f ca="1"/>
        <v/>
      </c>
      <c r="E68" s="5" t="str">
        <f ca="1"/>
        <v/>
      </c>
      <c r="F68" s="5" t="str">
        <f ca="1"/>
        <v/>
      </c>
      <c r="G68" s="5" t="str">
        <f ca="1"/>
        <v/>
      </c>
      <c r="H68" s="5" t="str">
        <f ca="1"/>
        <v/>
      </c>
      <c r="I68" s="5" t="str">
        <f ca="1"/>
        <v/>
      </c>
      <c r="J68" s="9" t="str">
        <f ca="1"/>
        <v/>
      </c>
      <c r="K68" s="9"/>
      <c r="X68" s="9">
        <f ca="1"/>
        <v>0</v>
      </c>
    </row>
    <row r="69" spans="1:24" ht="14" customHeight="1" x14ac:dyDescent="0.15">
      <c r="A69" s="6">
        <v>17</v>
      </c>
      <c r="B69" s="7">
        <v>45353</v>
      </c>
      <c r="C69" s="5" t="str">
        <f ca="1"/>
        <v/>
      </c>
      <c r="D69" s="5" t="str">
        <f ca="1"/>
        <v/>
      </c>
      <c r="E69" s="5" t="str">
        <f ca="1"/>
        <v/>
      </c>
      <c r="F69" s="5" t="str">
        <f ca="1"/>
        <v/>
      </c>
      <c r="G69" s="5" t="str">
        <f ca="1"/>
        <v/>
      </c>
      <c r="H69" s="5" t="str">
        <f ca="1"/>
        <v/>
      </c>
      <c r="I69" s="5" t="str">
        <f ca="1"/>
        <v/>
      </c>
      <c r="J69" s="9" t="str">
        <f ca="1"/>
        <v/>
      </c>
      <c r="K69" s="9"/>
      <c r="X69" s="9">
        <f ca="1"/>
        <v>0</v>
      </c>
    </row>
    <row r="70" spans="1:24" ht="14" customHeight="1" x14ac:dyDescent="0.15">
      <c r="A70" s="6">
        <v>18</v>
      </c>
      <c r="B70" s="7">
        <v>45384</v>
      </c>
      <c r="C70" s="5" t="str">
        <f ca="1"/>
        <v/>
      </c>
      <c r="D70" s="5" t="str">
        <f ca="1"/>
        <v/>
      </c>
      <c r="E70" s="5" t="str">
        <f ca="1"/>
        <v/>
      </c>
      <c r="F70" s="5" t="str">
        <f ca="1"/>
        <v/>
      </c>
      <c r="G70" s="5" t="str">
        <f ca="1"/>
        <v/>
      </c>
      <c r="H70" s="5" t="str">
        <f ca="1"/>
        <v/>
      </c>
      <c r="I70" s="5" t="str">
        <f ca="1"/>
        <v/>
      </c>
      <c r="J70" s="9" t="str">
        <f ca="1"/>
        <v/>
      </c>
      <c r="K70" s="9"/>
      <c r="X70" s="9">
        <f ca="1"/>
        <v>0</v>
      </c>
    </row>
    <row r="71" spans="1:24" ht="14" customHeight="1" x14ac:dyDescent="0.15">
      <c r="A71" s="6">
        <v>19</v>
      </c>
      <c r="B71" s="7">
        <v>45414</v>
      </c>
      <c r="C71" s="5" t="str">
        <f ca="1"/>
        <v/>
      </c>
      <c r="D71" s="5" t="str">
        <f ca="1"/>
        <v/>
      </c>
      <c r="E71" s="5" t="str">
        <f ca="1"/>
        <v/>
      </c>
      <c r="F71" s="5" t="str">
        <f ca="1"/>
        <v/>
      </c>
      <c r="G71" s="5" t="str">
        <f ca="1"/>
        <v/>
      </c>
      <c r="H71" s="5" t="str">
        <f ca="1"/>
        <v/>
      </c>
      <c r="I71" s="5" t="str">
        <f ca="1"/>
        <v/>
      </c>
      <c r="J71" s="9" t="str">
        <f ca="1"/>
        <v/>
      </c>
      <c r="K71" s="9"/>
      <c r="X71" s="9">
        <f ca="1"/>
        <v>0</v>
      </c>
    </row>
    <row r="72" spans="1:24" ht="14" customHeight="1" x14ac:dyDescent="0.15">
      <c r="A72" s="6">
        <v>20</v>
      </c>
      <c r="B72" s="7">
        <v>45445</v>
      </c>
      <c r="C72" s="5" t="str">
        <f ca="1"/>
        <v/>
      </c>
      <c r="D72" s="5" t="str">
        <f ca="1"/>
        <v/>
      </c>
      <c r="E72" s="5" t="str">
        <f ca="1"/>
        <v/>
      </c>
      <c r="F72" s="5" t="str">
        <f ca="1"/>
        <v/>
      </c>
      <c r="G72" s="5" t="str">
        <f ca="1"/>
        <v/>
      </c>
      <c r="H72" s="5" t="str">
        <f ca="1"/>
        <v/>
      </c>
      <c r="I72" s="5" t="str">
        <f ca="1"/>
        <v/>
      </c>
      <c r="J72" s="9" t="str">
        <f ca="1"/>
        <v/>
      </c>
      <c r="K72" s="9"/>
      <c r="X72" s="9">
        <f ca="1"/>
        <v>0</v>
      </c>
    </row>
    <row r="73" spans="1:24" ht="14" customHeight="1" x14ac:dyDescent="0.15">
      <c r="A73" s="6">
        <v>21</v>
      </c>
      <c r="B73" s="7">
        <v>45475</v>
      </c>
      <c r="C73" s="5" t="str">
        <f ca="1"/>
        <v/>
      </c>
      <c r="D73" s="5" t="str">
        <f ca="1"/>
        <v/>
      </c>
      <c r="E73" s="5" t="str">
        <f ca="1"/>
        <v/>
      </c>
      <c r="F73" s="5" t="str">
        <f ca="1"/>
        <v/>
      </c>
      <c r="G73" s="5" t="str">
        <f ca="1"/>
        <v/>
      </c>
      <c r="H73" s="5" t="str">
        <f ca="1"/>
        <v/>
      </c>
      <c r="I73" s="5" t="str">
        <f ca="1"/>
        <v/>
      </c>
      <c r="J73" s="9" t="str">
        <f ca="1"/>
        <v/>
      </c>
      <c r="K73" s="9"/>
      <c r="X73" s="9">
        <f ca="1"/>
        <v>0</v>
      </c>
    </row>
    <row r="74" spans="1:24" ht="14" customHeight="1" x14ac:dyDescent="0.15">
      <c r="A74" s="6">
        <v>22</v>
      </c>
      <c r="B74" s="7">
        <v>45506</v>
      </c>
      <c r="C74" s="5" t="str">
        <f ca="1"/>
        <v/>
      </c>
      <c r="D74" s="5" t="str">
        <f ca="1"/>
        <v/>
      </c>
      <c r="E74" s="5" t="str">
        <f ca="1"/>
        <v/>
      </c>
      <c r="F74" s="5" t="str">
        <f ca="1"/>
        <v/>
      </c>
      <c r="G74" s="5" t="str">
        <f ca="1"/>
        <v/>
      </c>
      <c r="H74" s="5" t="str">
        <f ca="1"/>
        <v/>
      </c>
      <c r="I74" s="5" t="str">
        <f ca="1"/>
        <v/>
      </c>
      <c r="J74" s="9" t="str">
        <f ca="1"/>
        <v/>
      </c>
      <c r="K74" s="9"/>
      <c r="X74" s="9">
        <f ca="1"/>
        <v>0</v>
      </c>
    </row>
    <row r="75" spans="1:24" ht="14" customHeight="1" x14ac:dyDescent="0.15">
      <c r="A75" s="6">
        <v>23</v>
      </c>
      <c r="B75" s="7">
        <v>45537</v>
      </c>
      <c r="C75" s="5" t="str">
        <f ca="1"/>
        <v/>
      </c>
      <c r="D75" s="5" t="str">
        <f ca="1"/>
        <v/>
      </c>
      <c r="E75" s="5" t="str">
        <f ca="1"/>
        <v/>
      </c>
      <c r="F75" s="5" t="str">
        <f ca="1"/>
        <v/>
      </c>
      <c r="G75" s="5" t="str">
        <f ca="1"/>
        <v/>
      </c>
      <c r="H75" s="5" t="str">
        <f ca="1"/>
        <v/>
      </c>
      <c r="I75" s="5" t="str">
        <f ca="1"/>
        <v/>
      </c>
      <c r="J75" s="9" t="str">
        <f ca="1"/>
        <v/>
      </c>
      <c r="K75" s="9"/>
      <c r="X75" s="9">
        <f ca="1"/>
        <v>0</v>
      </c>
    </row>
    <row r="76" spans="1:24" ht="14" customHeight="1" x14ac:dyDescent="0.15">
      <c r="A76" s="6">
        <v>24</v>
      </c>
      <c r="B76" s="7">
        <v>45567</v>
      </c>
      <c r="C76" s="5" t="str">
        <f ca="1"/>
        <v/>
      </c>
      <c r="D76" s="5" t="str">
        <f ca="1"/>
        <v/>
      </c>
      <c r="E76" s="5" t="str">
        <f ca="1"/>
        <v/>
      </c>
      <c r="F76" s="5" t="str">
        <f ca="1"/>
        <v/>
      </c>
      <c r="G76" s="5" t="str">
        <f ca="1"/>
        <v/>
      </c>
      <c r="H76" s="5" t="str">
        <f ca="1"/>
        <v/>
      </c>
      <c r="I76" s="5" t="str">
        <f ca="1"/>
        <v/>
      </c>
      <c r="J76" s="9" t="str">
        <f ca="1"/>
        <v/>
      </c>
      <c r="K76" s="9"/>
      <c r="X76" s="9">
        <f ca="1"/>
        <v>0</v>
      </c>
    </row>
    <row r="77" spans="1:24" ht="14" customHeight="1" x14ac:dyDescent="0.15">
      <c r="A77" s="6">
        <v>25</v>
      </c>
      <c r="B77" s="7">
        <v>45598</v>
      </c>
      <c r="C77" s="5" t="str">
        <f ca="1"/>
        <v/>
      </c>
      <c r="D77" s="5" t="str">
        <f ca="1"/>
        <v/>
      </c>
      <c r="E77" s="5" t="str">
        <f ca="1"/>
        <v/>
      </c>
      <c r="F77" s="5" t="str">
        <f ca="1"/>
        <v/>
      </c>
      <c r="G77" s="5" t="str">
        <f ca="1"/>
        <v/>
      </c>
      <c r="H77" s="5" t="str">
        <f ca="1"/>
        <v/>
      </c>
      <c r="I77" s="5" t="str">
        <f ca="1"/>
        <v/>
      </c>
      <c r="J77" s="9" t="str">
        <f ca="1"/>
        <v/>
      </c>
      <c r="X77" s="9">
        <f ca="1"/>
        <v>0</v>
      </c>
    </row>
    <row r="78" spans="1:24" ht="14" customHeight="1" x14ac:dyDescent="0.15">
      <c r="A78" s="6">
        <v>26</v>
      </c>
      <c r="B78" s="7">
        <v>45628</v>
      </c>
      <c r="C78" s="5" t="str">
        <f ca="1"/>
        <v/>
      </c>
      <c r="D78" s="5" t="str">
        <f ca="1"/>
        <v/>
      </c>
      <c r="E78" s="5" t="str">
        <f ca="1"/>
        <v/>
      </c>
      <c r="F78" s="5" t="str">
        <f ca="1"/>
        <v/>
      </c>
      <c r="G78" s="5" t="str">
        <f ca="1"/>
        <v/>
      </c>
      <c r="H78" s="5" t="str">
        <f ca="1"/>
        <v/>
      </c>
      <c r="I78" s="5" t="str">
        <f ca="1"/>
        <v/>
      </c>
      <c r="J78" s="9" t="str">
        <f ca="1"/>
        <v/>
      </c>
      <c r="X78" s="9">
        <f ca="1"/>
        <v>0</v>
      </c>
    </row>
    <row r="79" spans="1:24" ht="14" customHeight="1" x14ac:dyDescent="0.15">
      <c r="A79" s="6">
        <v>27</v>
      </c>
      <c r="B79" s="7">
        <v>45659</v>
      </c>
      <c r="C79" s="5" t="str">
        <f ca="1"/>
        <v/>
      </c>
      <c r="D79" s="5" t="str">
        <f ca="1"/>
        <v/>
      </c>
      <c r="E79" s="5" t="str">
        <f ca="1"/>
        <v/>
      </c>
      <c r="F79" s="5" t="str">
        <f ca="1"/>
        <v/>
      </c>
      <c r="G79" s="5" t="str">
        <f ca="1"/>
        <v/>
      </c>
      <c r="H79" s="5" t="str">
        <f ca="1"/>
        <v/>
      </c>
      <c r="I79" s="5" t="str">
        <f ca="1"/>
        <v/>
      </c>
      <c r="J79" s="9" t="str">
        <f ca="1"/>
        <v/>
      </c>
      <c r="X79" s="9">
        <f ca="1"/>
        <v>0</v>
      </c>
    </row>
    <row r="80" spans="1:24" ht="14" customHeight="1" x14ac:dyDescent="0.15">
      <c r="A80" s="6">
        <v>28</v>
      </c>
      <c r="B80" s="7">
        <v>45690</v>
      </c>
      <c r="C80" s="5" t="str">
        <f ca="1"/>
        <v/>
      </c>
      <c r="D80" s="5" t="str">
        <f ca="1"/>
        <v/>
      </c>
      <c r="E80" s="5" t="str">
        <f ca="1"/>
        <v/>
      </c>
      <c r="F80" s="5" t="str">
        <f ca="1"/>
        <v/>
      </c>
      <c r="G80" s="5" t="str">
        <f ca="1"/>
        <v/>
      </c>
      <c r="H80" s="5" t="str">
        <f ca="1"/>
        <v/>
      </c>
      <c r="I80" s="5" t="str">
        <f ca="1"/>
        <v/>
      </c>
      <c r="J80" s="9" t="str">
        <f ca="1"/>
        <v/>
      </c>
      <c r="X80" s="9">
        <f ca="1"/>
        <v>0</v>
      </c>
    </row>
    <row r="81" spans="1:24" ht="14" customHeight="1" x14ac:dyDescent="0.15">
      <c r="A81" s="6">
        <v>29</v>
      </c>
      <c r="B81" s="7">
        <v>45718</v>
      </c>
      <c r="C81" s="5" t="str">
        <f ca="1"/>
        <v/>
      </c>
      <c r="D81" s="5" t="str">
        <f ca="1"/>
        <v/>
      </c>
      <c r="E81" s="5" t="str">
        <f ca="1"/>
        <v/>
      </c>
      <c r="F81" s="5" t="str">
        <f ca="1"/>
        <v/>
      </c>
      <c r="G81" s="5" t="str">
        <f ca="1"/>
        <v/>
      </c>
      <c r="H81" s="5" t="str">
        <f ca="1"/>
        <v/>
      </c>
      <c r="I81" s="5" t="str">
        <f ca="1"/>
        <v/>
      </c>
      <c r="J81" s="9" t="str">
        <f ca="1"/>
        <v/>
      </c>
      <c r="X81" s="9">
        <f ca="1"/>
        <v>0</v>
      </c>
    </row>
    <row r="82" spans="1:24" ht="14" customHeight="1" x14ac:dyDescent="0.15">
      <c r="A82" s="6">
        <v>30</v>
      </c>
      <c r="B82" s="7">
        <v>45749</v>
      </c>
      <c r="C82" s="5" t="str">
        <f ca="1"/>
        <v/>
      </c>
      <c r="D82" s="5" t="str">
        <f ca="1"/>
        <v/>
      </c>
      <c r="E82" s="5" t="str">
        <f ca="1"/>
        <v/>
      </c>
      <c r="F82" s="5" t="str">
        <f ca="1"/>
        <v/>
      </c>
      <c r="G82" s="5" t="str">
        <f ca="1"/>
        <v/>
      </c>
      <c r="H82" s="5" t="str">
        <f ca="1"/>
        <v/>
      </c>
      <c r="I82" s="5" t="str">
        <f ca="1"/>
        <v/>
      </c>
      <c r="J82" s="9" t="str">
        <f ca="1"/>
        <v/>
      </c>
      <c r="X82" s="9">
        <f ca="1"/>
        <v>0</v>
      </c>
    </row>
    <row r="83" spans="1:24" ht="14" customHeight="1" x14ac:dyDescent="0.15">
      <c r="A83" s="6">
        <v>31</v>
      </c>
      <c r="B83" s="7">
        <v>45779</v>
      </c>
      <c r="C83" s="5" t="str">
        <f ca="1"/>
        <v/>
      </c>
      <c r="D83" s="5" t="str">
        <f ca="1"/>
        <v/>
      </c>
      <c r="E83" s="5" t="str">
        <f ca="1"/>
        <v/>
      </c>
      <c r="F83" s="5" t="str">
        <f ca="1"/>
        <v/>
      </c>
      <c r="G83" s="5" t="str">
        <f ca="1"/>
        <v/>
      </c>
      <c r="H83" s="5" t="str">
        <f ca="1"/>
        <v/>
      </c>
      <c r="I83" s="5" t="str">
        <f ca="1"/>
        <v/>
      </c>
      <c r="J83" s="9" t="str">
        <f ca="1"/>
        <v/>
      </c>
      <c r="X83" s="9">
        <f ca="1"/>
        <v>0</v>
      </c>
    </row>
    <row r="84" spans="1:24" ht="14" customHeight="1" x14ac:dyDescent="0.15">
      <c r="A84" s="6">
        <v>32</v>
      </c>
      <c r="B84" s="7">
        <v>45810</v>
      </c>
      <c r="C84" s="5" t="str">
        <f ca="1"/>
        <v/>
      </c>
      <c r="D84" s="5" t="str">
        <f ca="1"/>
        <v/>
      </c>
      <c r="E84" s="5" t="str">
        <f ca="1"/>
        <v/>
      </c>
      <c r="F84" s="5" t="str">
        <f ca="1"/>
        <v/>
      </c>
      <c r="G84" s="5" t="str">
        <f ca="1"/>
        <v/>
      </c>
      <c r="H84" s="5" t="str">
        <f ca="1"/>
        <v/>
      </c>
      <c r="I84" s="5" t="str">
        <f ca="1"/>
        <v/>
      </c>
      <c r="J84" s="9" t="str">
        <f ca="1"/>
        <v/>
      </c>
      <c r="X84" s="9">
        <f ca="1"/>
        <v>0</v>
      </c>
    </row>
    <row r="85" spans="1:24" ht="14" customHeight="1" x14ac:dyDescent="0.15">
      <c r="A85" s="6">
        <v>33</v>
      </c>
      <c r="B85" s="7">
        <v>45840</v>
      </c>
      <c r="C85" s="5" t="str">
        <f ca="1"/>
        <v/>
      </c>
      <c r="D85" s="5" t="str">
        <f ca="1"/>
        <v/>
      </c>
      <c r="E85" s="5" t="str">
        <f ca="1"/>
        <v/>
      </c>
      <c r="F85" s="5" t="str">
        <f ca="1"/>
        <v/>
      </c>
      <c r="G85" s="5" t="str">
        <f ca="1"/>
        <v/>
      </c>
      <c r="H85" s="5" t="str">
        <f ca="1"/>
        <v/>
      </c>
      <c r="I85" s="5" t="str">
        <f ca="1"/>
        <v/>
      </c>
      <c r="J85" s="9" t="str">
        <f ca="1"/>
        <v/>
      </c>
      <c r="X85" s="9">
        <f ca="1"/>
        <v>0</v>
      </c>
    </row>
    <row r="86" spans="1:24" ht="14" customHeight="1" x14ac:dyDescent="0.15">
      <c r="A86" s="6">
        <v>34</v>
      </c>
      <c r="B86" s="7">
        <v>45871</v>
      </c>
      <c r="C86" s="5" t="str">
        <f ca="1"/>
        <v/>
      </c>
      <c r="D86" s="5" t="str">
        <f ca="1"/>
        <v/>
      </c>
      <c r="E86" s="5" t="str">
        <f ca="1"/>
        <v/>
      </c>
      <c r="F86" s="5" t="str">
        <f ca="1"/>
        <v/>
      </c>
      <c r="G86" s="5" t="str">
        <f ca="1"/>
        <v/>
      </c>
      <c r="H86" s="5" t="str">
        <f ca="1"/>
        <v/>
      </c>
      <c r="I86" s="5" t="str">
        <f ca="1"/>
        <v/>
      </c>
      <c r="J86" s="9" t="str">
        <f ca="1"/>
        <v/>
      </c>
      <c r="X86" s="9">
        <f ca="1"/>
        <v>0</v>
      </c>
    </row>
    <row r="87" spans="1:24" ht="14" customHeight="1" x14ac:dyDescent="0.15">
      <c r="A87" s="6">
        <v>35</v>
      </c>
      <c r="B87" s="7">
        <v>45902</v>
      </c>
      <c r="C87" s="5" t="str">
        <f ca="1"/>
        <v/>
      </c>
      <c r="D87" s="5" t="str">
        <f ca="1"/>
        <v/>
      </c>
      <c r="E87" s="5" t="str">
        <f ca="1"/>
        <v/>
      </c>
      <c r="F87" s="5" t="str">
        <f ca="1"/>
        <v/>
      </c>
      <c r="G87" s="5" t="str">
        <f ca="1"/>
        <v/>
      </c>
      <c r="H87" s="5" t="str">
        <f ca="1"/>
        <v/>
      </c>
      <c r="I87" s="5" t="str">
        <f ca="1"/>
        <v/>
      </c>
      <c r="J87" s="9" t="str">
        <f ca="1"/>
        <v/>
      </c>
      <c r="X87" s="9">
        <f ca="1"/>
        <v>0</v>
      </c>
    </row>
    <row r="88" spans="1:24" ht="14" customHeight="1" x14ac:dyDescent="0.15">
      <c r="A88" s="6">
        <v>36</v>
      </c>
      <c r="B88" s="7">
        <v>45932</v>
      </c>
      <c r="C88" s="5" t="str">
        <f ca="1"/>
        <v/>
      </c>
      <c r="D88" s="5" t="str">
        <f ca="1"/>
        <v/>
      </c>
      <c r="E88" s="5" t="str">
        <f ca="1"/>
        <v/>
      </c>
      <c r="F88" s="5" t="str">
        <f ca="1"/>
        <v/>
      </c>
      <c r="G88" s="5" t="str">
        <f ca="1"/>
        <v/>
      </c>
      <c r="H88" s="5" t="str">
        <f ca="1"/>
        <v/>
      </c>
      <c r="I88" s="5" t="str">
        <f ca="1"/>
        <v/>
      </c>
      <c r="J88" s="9" t="str">
        <f ca="1"/>
        <v/>
      </c>
      <c r="X88" s="9">
        <f ca="1"/>
        <v>0</v>
      </c>
    </row>
    <row r="89" spans="1:24" ht="14" customHeight="1" x14ac:dyDescent="0.15">
      <c r="A89" s="6">
        <v>37</v>
      </c>
      <c r="B89" s="7">
        <v>45963</v>
      </c>
      <c r="C89" s="5" t="str">
        <f ca="1"/>
        <v/>
      </c>
      <c r="D89" s="5" t="str">
        <f ca="1"/>
        <v/>
      </c>
      <c r="E89" s="5" t="str">
        <f ca="1"/>
        <v/>
      </c>
      <c r="F89" s="5" t="str">
        <f ca="1"/>
        <v/>
      </c>
      <c r="G89" s="5" t="str">
        <f ca="1"/>
        <v/>
      </c>
      <c r="H89" s="5" t="str">
        <f ca="1"/>
        <v/>
      </c>
      <c r="I89" s="5" t="str">
        <f ca="1"/>
        <v/>
      </c>
      <c r="J89" s="9" t="str">
        <f ca="1"/>
        <v/>
      </c>
      <c r="X89" s="9">
        <f ca="1"/>
        <v>0</v>
      </c>
    </row>
    <row r="90" spans="1:24" ht="14" customHeight="1" x14ac:dyDescent="0.15">
      <c r="A90" s="6">
        <v>38</v>
      </c>
      <c r="B90" s="7">
        <v>45993</v>
      </c>
      <c r="C90" s="5" t="str">
        <f ca="1"/>
        <v/>
      </c>
      <c r="D90" s="5" t="str">
        <f ca="1"/>
        <v/>
      </c>
      <c r="E90" s="5" t="str">
        <f ca="1"/>
        <v/>
      </c>
      <c r="F90" s="5" t="str">
        <f ca="1"/>
        <v/>
      </c>
      <c r="G90" s="5" t="str">
        <f ca="1"/>
        <v/>
      </c>
      <c r="H90" s="5" t="str">
        <f ca="1"/>
        <v/>
      </c>
      <c r="I90" s="5" t="str">
        <f ca="1"/>
        <v/>
      </c>
      <c r="J90" s="9" t="str">
        <f ca="1"/>
        <v/>
      </c>
      <c r="X90" s="9">
        <f ca="1"/>
        <v>0</v>
      </c>
    </row>
    <row r="91" spans="1:24" ht="14" customHeight="1" x14ac:dyDescent="0.15">
      <c r="A91" s="6">
        <v>39</v>
      </c>
      <c r="B91" s="7">
        <v>46024</v>
      </c>
      <c r="C91" s="5" t="str">
        <f ca="1"/>
        <v/>
      </c>
      <c r="D91" s="5" t="str">
        <f ca="1"/>
        <v/>
      </c>
      <c r="E91" s="5" t="str">
        <f ca="1"/>
        <v/>
      </c>
      <c r="F91" s="5" t="str">
        <f ca="1"/>
        <v/>
      </c>
      <c r="G91" s="5" t="str">
        <f ca="1"/>
        <v/>
      </c>
      <c r="H91" s="5" t="str">
        <f ca="1"/>
        <v/>
      </c>
      <c r="I91" s="5" t="str">
        <f ca="1"/>
        <v/>
      </c>
      <c r="J91" s="9" t="str">
        <f ca="1"/>
        <v/>
      </c>
      <c r="X91" s="9">
        <f ca="1"/>
        <v>0</v>
      </c>
    </row>
    <row r="92" spans="1:24" ht="14" customHeight="1" x14ac:dyDescent="0.15">
      <c r="A92" s="6">
        <v>40</v>
      </c>
      <c r="B92" s="7">
        <v>46055</v>
      </c>
      <c r="C92" s="5" t="str">
        <f ca="1"/>
        <v/>
      </c>
      <c r="D92" s="5" t="str">
        <f ca="1"/>
        <v/>
      </c>
      <c r="E92" s="5" t="str">
        <f ca="1"/>
        <v/>
      </c>
      <c r="F92" s="5" t="str">
        <f ca="1"/>
        <v/>
      </c>
      <c r="G92" s="5" t="str">
        <f ca="1"/>
        <v/>
      </c>
      <c r="H92" s="5" t="str">
        <f ca="1"/>
        <v/>
      </c>
      <c r="I92" s="5" t="str">
        <f ca="1"/>
        <v/>
      </c>
      <c r="J92" s="9" t="str">
        <f ca="1"/>
        <v/>
      </c>
      <c r="X92" s="9">
        <f ca="1"/>
        <v>0</v>
      </c>
    </row>
    <row r="93" spans="1:24" ht="14" customHeight="1" x14ac:dyDescent="0.15">
      <c r="A93" s="6">
        <v>41</v>
      </c>
      <c r="B93" s="7">
        <v>46083</v>
      </c>
      <c r="C93" s="5" t="str">
        <f ca="1"/>
        <v/>
      </c>
      <c r="D93" s="5" t="str">
        <f ca="1"/>
        <v/>
      </c>
      <c r="E93" s="5" t="str">
        <f ca="1"/>
        <v/>
      </c>
      <c r="F93" s="5" t="str">
        <f ca="1"/>
        <v/>
      </c>
      <c r="G93" s="5" t="str">
        <f ca="1"/>
        <v/>
      </c>
      <c r="H93" s="5" t="str">
        <f ca="1"/>
        <v/>
      </c>
      <c r="I93" s="5" t="str">
        <f ca="1"/>
        <v/>
      </c>
      <c r="J93" s="9" t="str">
        <f ca="1"/>
        <v/>
      </c>
      <c r="X93" s="9">
        <f ca="1"/>
        <v>0</v>
      </c>
    </row>
    <row r="94" spans="1:24" ht="14" customHeight="1" x14ac:dyDescent="0.15">
      <c r="A94" s="6">
        <v>42</v>
      </c>
      <c r="B94" s="7">
        <v>46114</v>
      </c>
      <c r="C94" s="5" t="str">
        <f ca="1"/>
        <v/>
      </c>
      <c r="D94" s="5" t="str">
        <f ca="1"/>
        <v/>
      </c>
      <c r="E94" s="5" t="str">
        <f ca="1"/>
        <v/>
      </c>
      <c r="F94" s="5" t="str">
        <f ca="1"/>
        <v/>
      </c>
      <c r="G94" s="5" t="str">
        <f ca="1"/>
        <v/>
      </c>
      <c r="H94" s="5" t="str">
        <f ca="1"/>
        <v/>
      </c>
      <c r="I94" s="5" t="str">
        <f ca="1"/>
        <v/>
      </c>
      <c r="J94" s="9" t="str">
        <f ca="1"/>
        <v/>
      </c>
      <c r="X94" s="9">
        <f ca="1"/>
        <v>0</v>
      </c>
    </row>
    <row r="95" spans="1:24" ht="14" customHeight="1" x14ac:dyDescent="0.15">
      <c r="A95" s="6">
        <v>43</v>
      </c>
      <c r="B95" s="7">
        <v>46144</v>
      </c>
      <c r="C95" s="5" t="str">
        <f ca="1"/>
        <v/>
      </c>
      <c r="D95" s="5" t="str">
        <f ca="1"/>
        <v/>
      </c>
      <c r="E95" s="5" t="str">
        <f ca="1"/>
        <v/>
      </c>
      <c r="F95" s="5" t="str">
        <f ca="1"/>
        <v/>
      </c>
      <c r="G95" s="5" t="str">
        <f ca="1"/>
        <v/>
      </c>
      <c r="H95" s="5" t="str">
        <f ca="1"/>
        <v/>
      </c>
      <c r="I95" s="5" t="str">
        <f ca="1"/>
        <v/>
      </c>
      <c r="J95" s="9" t="str">
        <f ca="1"/>
        <v/>
      </c>
      <c r="X95" s="9">
        <f ca="1"/>
        <v>0</v>
      </c>
    </row>
    <row r="96" spans="1:24" ht="14" customHeight="1" x14ac:dyDescent="0.15">
      <c r="A96" s="6">
        <v>44</v>
      </c>
      <c r="B96" s="7">
        <v>46175</v>
      </c>
      <c r="C96" s="5" t="str">
        <f ca="1"/>
        <v/>
      </c>
      <c r="D96" s="5" t="str">
        <f ca="1"/>
        <v/>
      </c>
      <c r="E96" s="5" t="str">
        <f ca="1"/>
        <v/>
      </c>
      <c r="F96" s="5" t="str">
        <f ca="1"/>
        <v/>
      </c>
      <c r="G96" s="5" t="str">
        <f ca="1"/>
        <v/>
      </c>
      <c r="H96" s="5" t="str">
        <f ca="1"/>
        <v/>
      </c>
      <c r="I96" s="5" t="str">
        <f ca="1"/>
        <v/>
      </c>
      <c r="J96" s="9" t="str">
        <f ca="1"/>
        <v/>
      </c>
      <c r="X96" s="9">
        <f ca="1"/>
        <v>0</v>
      </c>
    </row>
    <row r="97" spans="1:24" ht="14" customHeight="1" x14ac:dyDescent="0.15">
      <c r="A97" s="6">
        <v>45</v>
      </c>
      <c r="B97" s="7">
        <v>46205</v>
      </c>
      <c r="C97" s="5" t="str">
        <f ca="1"/>
        <v/>
      </c>
      <c r="D97" s="5" t="str">
        <f ca="1"/>
        <v/>
      </c>
      <c r="E97" s="5" t="str">
        <f ca="1"/>
        <v/>
      </c>
      <c r="F97" s="5" t="str">
        <f ca="1"/>
        <v/>
      </c>
      <c r="G97" s="5" t="str">
        <f ca="1"/>
        <v/>
      </c>
      <c r="H97" s="5" t="str">
        <f ca="1"/>
        <v/>
      </c>
      <c r="I97" s="5" t="str">
        <f ca="1"/>
        <v/>
      </c>
      <c r="J97" s="9" t="str">
        <f ca="1"/>
        <v/>
      </c>
      <c r="X97" s="9">
        <f ca="1"/>
        <v>0</v>
      </c>
    </row>
    <row r="98" spans="1:24" ht="14" customHeight="1" x14ac:dyDescent="0.15">
      <c r="A98" s="6">
        <v>46</v>
      </c>
      <c r="B98" s="7">
        <v>46236</v>
      </c>
      <c r="C98" s="5" t="str">
        <f ca="1"/>
        <v/>
      </c>
      <c r="D98" s="5" t="str">
        <f ca="1"/>
        <v/>
      </c>
      <c r="E98" s="5" t="str">
        <f ca="1"/>
        <v/>
      </c>
      <c r="F98" s="5" t="str">
        <f ca="1"/>
        <v/>
      </c>
      <c r="G98" s="5" t="str">
        <f ca="1"/>
        <v/>
      </c>
      <c r="H98" s="5" t="str">
        <f ca="1"/>
        <v/>
      </c>
      <c r="I98" s="5" t="str">
        <f ca="1"/>
        <v/>
      </c>
      <c r="J98" s="9" t="str">
        <f ca="1"/>
        <v/>
      </c>
      <c r="X98" s="9">
        <f ca="1"/>
        <v>0</v>
      </c>
    </row>
    <row r="99" spans="1:24" ht="14" customHeight="1" x14ac:dyDescent="0.15">
      <c r="A99" s="6">
        <v>47</v>
      </c>
      <c r="B99" s="7">
        <v>46267</v>
      </c>
      <c r="C99" s="5" t="str">
        <f ca="1"/>
        <v/>
      </c>
      <c r="D99" s="5" t="str">
        <f ca="1"/>
        <v/>
      </c>
      <c r="E99" s="5" t="str">
        <f ca="1"/>
        <v/>
      </c>
      <c r="F99" s="5" t="str">
        <f ca="1"/>
        <v/>
      </c>
      <c r="G99" s="5" t="str">
        <f ca="1"/>
        <v/>
      </c>
      <c r="H99" s="5" t="str">
        <f ca="1"/>
        <v/>
      </c>
      <c r="I99" s="5" t="str">
        <f ca="1"/>
        <v/>
      </c>
      <c r="J99" s="9" t="str">
        <f ca="1"/>
        <v/>
      </c>
      <c r="X99" s="9">
        <f ca="1"/>
        <v>0</v>
      </c>
    </row>
    <row r="100" spans="1:24" ht="14" customHeight="1" x14ac:dyDescent="0.15">
      <c r="A100" s="6">
        <v>48</v>
      </c>
      <c r="B100" s="7">
        <v>46297</v>
      </c>
      <c r="C100" s="5" t="str">
        <f ca="1"/>
        <v/>
      </c>
      <c r="D100" s="5" t="str">
        <f ca="1"/>
        <v/>
      </c>
      <c r="E100" s="5" t="str">
        <f ca="1"/>
        <v/>
      </c>
      <c r="F100" s="5" t="str">
        <f ca="1"/>
        <v/>
      </c>
      <c r="G100" s="5" t="str">
        <f ca="1"/>
        <v/>
      </c>
      <c r="H100" s="5" t="str">
        <f ca="1"/>
        <v/>
      </c>
      <c r="I100" s="5" t="str">
        <f ca="1"/>
        <v/>
      </c>
      <c r="J100" s="9" t="str">
        <f ca="1"/>
        <v/>
      </c>
      <c r="X100" s="9">
        <f ca="1"/>
        <v>0</v>
      </c>
    </row>
    <row r="101" spans="1:24" ht="14" customHeight="1" x14ac:dyDescent="0.15">
      <c r="A101" s="6">
        <v>49</v>
      </c>
      <c r="B101" s="7">
        <v>46328</v>
      </c>
      <c r="C101" s="5" t="str">
        <f ca="1"/>
        <v/>
      </c>
      <c r="D101" s="5" t="str">
        <f ca="1"/>
        <v/>
      </c>
      <c r="E101" s="5" t="str">
        <f ca="1"/>
        <v/>
      </c>
      <c r="F101" s="5" t="str">
        <f ca="1"/>
        <v/>
      </c>
      <c r="G101" s="5" t="str">
        <f ca="1"/>
        <v/>
      </c>
      <c r="H101" s="5" t="str">
        <f ca="1"/>
        <v/>
      </c>
      <c r="I101" s="5" t="str">
        <f ca="1"/>
        <v/>
      </c>
      <c r="J101" s="9" t="str">
        <f ca="1"/>
        <v/>
      </c>
      <c r="X101" s="9">
        <f ca="1"/>
        <v>0</v>
      </c>
    </row>
    <row r="102" spans="1:24" ht="14" customHeight="1" x14ac:dyDescent="0.15">
      <c r="A102" s="6">
        <v>50</v>
      </c>
      <c r="B102" s="7">
        <v>46358</v>
      </c>
      <c r="C102" s="5" t="str">
        <f ca="1"/>
        <v/>
      </c>
      <c r="D102" s="5" t="str">
        <f ca="1"/>
        <v/>
      </c>
      <c r="E102" s="5" t="str">
        <f ca="1"/>
        <v/>
      </c>
      <c r="F102" s="5" t="str">
        <f ca="1"/>
        <v/>
      </c>
      <c r="G102" s="5" t="str">
        <f ca="1"/>
        <v/>
      </c>
      <c r="H102" s="5" t="str">
        <f ca="1"/>
        <v/>
      </c>
      <c r="I102" s="5" t="str">
        <f ca="1"/>
        <v/>
      </c>
      <c r="J102" s="9" t="str">
        <f ca="1"/>
        <v/>
      </c>
      <c r="X102" s="9">
        <f ca="1"/>
        <v>0</v>
      </c>
    </row>
    <row r="103" spans="1:24" ht="14" customHeight="1" x14ac:dyDescent="0.15">
      <c r="A103" s="6">
        <v>51</v>
      </c>
      <c r="B103" s="7">
        <v>46389</v>
      </c>
      <c r="C103" s="5" t="str">
        <f ca="1"/>
        <v/>
      </c>
      <c r="D103" s="5" t="str">
        <f ca="1"/>
        <v/>
      </c>
      <c r="E103" s="5" t="str">
        <f ca="1"/>
        <v/>
      </c>
      <c r="F103" s="5" t="str">
        <f ca="1"/>
        <v/>
      </c>
      <c r="G103" s="5" t="str">
        <f ca="1"/>
        <v/>
      </c>
      <c r="H103" s="5" t="str">
        <f ca="1"/>
        <v/>
      </c>
      <c r="I103" s="5" t="str">
        <f ca="1"/>
        <v/>
      </c>
      <c r="J103" s="9" t="str">
        <f ca="1"/>
        <v/>
      </c>
      <c r="X103" s="9">
        <f ca="1"/>
        <v>0</v>
      </c>
    </row>
    <row r="104" spans="1:24" ht="14" customHeight="1" x14ac:dyDescent="0.15">
      <c r="A104" s="6">
        <v>52</v>
      </c>
      <c r="B104" s="7">
        <v>46420</v>
      </c>
      <c r="C104" s="5" t="str">
        <f ca="1"/>
        <v/>
      </c>
      <c r="D104" s="5" t="str">
        <f ca="1"/>
        <v/>
      </c>
      <c r="E104" s="5" t="str">
        <f ca="1"/>
        <v/>
      </c>
      <c r="F104" s="5" t="str">
        <f ca="1"/>
        <v/>
      </c>
      <c r="G104" s="5" t="str">
        <f ca="1"/>
        <v/>
      </c>
      <c r="H104" s="5" t="str">
        <f ca="1"/>
        <v/>
      </c>
      <c r="I104" s="5" t="str">
        <f ca="1"/>
        <v/>
      </c>
      <c r="J104" s="9" t="str">
        <f ca="1"/>
        <v/>
      </c>
      <c r="X104" s="9">
        <f ca="1"/>
        <v>0</v>
      </c>
    </row>
    <row r="105" spans="1:24" ht="14" customHeight="1" x14ac:dyDescent="0.15">
      <c r="A105" s="6">
        <v>53</v>
      </c>
      <c r="B105" s="7">
        <v>46448</v>
      </c>
      <c r="C105" s="5" t="str">
        <f ca="1"/>
        <v/>
      </c>
      <c r="D105" s="5" t="str">
        <f ca="1"/>
        <v/>
      </c>
      <c r="E105" s="5" t="str">
        <f ca="1"/>
        <v/>
      </c>
      <c r="F105" s="5" t="str">
        <f ca="1"/>
        <v/>
      </c>
      <c r="G105" s="5" t="str">
        <f ca="1"/>
        <v/>
      </c>
      <c r="H105" s="5" t="str">
        <f ca="1"/>
        <v/>
      </c>
      <c r="I105" s="5" t="str">
        <f ca="1"/>
        <v/>
      </c>
      <c r="J105" s="9" t="str">
        <f ca="1"/>
        <v/>
      </c>
      <c r="X105" s="9">
        <f ca="1"/>
        <v>0</v>
      </c>
    </row>
    <row r="106" spans="1:24" ht="14" customHeight="1" x14ac:dyDescent="0.15">
      <c r="A106" s="6">
        <v>54</v>
      </c>
      <c r="B106" s="7">
        <v>46479</v>
      </c>
      <c r="C106" s="5" t="str">
        <f ca="1"/>
        <v/>
      </c>
      <c r="D106" s="5" t="str">
        <f ca="1"/>
        <v/>
      </c>
      <c r="E106" s="5" t="str">
        <f ca="1"/>
        <v/>
      </c>
      <c r="F106" s="5" t="str">
        <f ca="1"/>
        <v/>
      </c>
      <c r="G106" s="5" t="str">
        <f ca="1"/>
        <v/>
      </c>
      <c r="H106" s="5" t="str">
        <f ca="1"/>
        <v/>
      </c>
      <c r="I106" s="5" t="str">
        <f ca="1"/>
        <v/>
      </c>
      <c r="J106" s="9" t="str">
        <f ca="1"/>
        <v/>
      </c>
      <c r="X106" s="9">
        <f ca="1"/>
        <v>0</v>
      </c>
    </row>
    <row r="107" spans="1:24" ht="14" customHeight="1" x14ac:dyDescent="0.15">
      <c r="A107" s="6">
        <v>55</v>
      </c>
      <c r="B107" s="7">
        <v>46509</v>
      </c>
      <c r="C107" s="5" t="str">
        <f ca="1"/>
        <v/>
      </c>
      <c r="D107" s="5" t="str">
        <f ca="1"/>
        <v/>
      </c>
      <c r="E107" s="5" t="str">
        <f ca="1"/>
        <v/>
      </c>
      <c r="F107" s="5" t="str">
        <f ca="1"/>
        <v/>
      </c>
      <c r="G107" s="5" t="str">
        <f ca="1"/>
        <v/>
      </c>
      <c r="H107" s="5" t="str">
        <f ca="1"/>
        <v/>
      </c>
      <c r="I107" s="5" t="str">
        <f ca="1"/>
        <v/>
      </c>
      <c r="J107" s="9" t="str">
        <f ca="1"/>
        <v/>
      </c>
      <c r="X107" s="9">
        <f ca="1"/>
        <v>0</v>
      </c>
    </row>
    <row r="108" spans="1:24" ht="14" customHeight="1" x14ac:dyDescent="0.15">
      <c r="A108" s="6">
        <v>56</v>
      </c>
      <c r="B108" s="7">
        <v>46540</v>
      </c>
      <c r="C108" s="5" t="str">
        <f ca="1"/>
        <v/>
      </c>
      <c r="D108" s="5" t="str">
        <f ca="1"/>
        <v/>
      </c>
      <c r="E108" s="5" t="str">
        <f ca="1"/>
        <v/>
      </c>
      <c r="F108" s="5" t="str">
        <f ca="1"/>
        <v/>
      </c>
      <c r="G108" s="5" t="str">
        <f ca="1"/>
        <v/>
      </c>
      <c r="H108" s="5" t="str">
        <f ca="1"/>
        <v/>
      </c>
      <c r="I108" s="5" t="str">
        <f ca="1"/>
        <v/>
      </c>
      <c r="J108" s="9" t="str">
        <f ca="1"/>
        <v/>
      </c>
      <c r="X108" s="9">
        <f ca="1"/>
        <v>0</v>
      </c>
    </row>
    <row r="109" spans="1:24" ht="14" customHeight="1" x14ac:dyDescent="0.15">
      <c r="A109" s="6">
        <v>57</v>
      </c>
      <c r="B109" s="7">
        <v>46570</v>
      </c>
      <c r="C109" s="5" t="str">
        <f ca="1"/>
        <v/>
      </c>
      <c r="D109" s="5" t="str">
        <f ca="1"/>
        <v/>
      </c>
      <c r="E109" s="5" t="str">
        <f ca="1"/>
        <v/>
      </c>
      <c r="F109" s="5" t="str">
        <f ca="1"/>
        <v/>
      </c>
      <c r="G109" s="5" t="str">
        <f ca="1"/>
        <v/>
      </c>
      <c r="H109" s="5" t="str">
        <f ca="1"/>
        <v/>
      </c>
      <c r="I109" s="5" t="str">
        <f ca="1"/>
        <v/>
      </c>
      <c r="J109" s="9" t="str">
        <f ca="1"/>
        <v/>
      </c>
      <c r="X109" s="9">
        <f ca="1"/>
        <v>0</v>
      </c>
    </row>
    <row r="110" spans="1:24" ht="14" customHeight="1" x14ac:dyDescent="0.15">
      <c r="A110" s="6">
        <v>58</v>
      </c>
      <c r="B110" s="7">
        <v>46601</v>
      </c>
      <c r="C110" s="5" t="str">
        <f ca="1"/>
        <v/>
      </c>
      <c r="D110" s="5" t="str">
        <f ca="1"/>
        <v/>
      </c>
      <c r="E110" s="5" t="str">
        <f ca="1"/>
        <v/>
      </c>
      <c r="F110" s="5" t="str">
        <f ca="1"/>
        <v/>
      </c>
      <c r="G110" s="5" t="str">
        <f ca="1"/>
        <v/>
      </c>
      <c r="H110" s="5" t="str">
        <f ca="1"/>
        <v/>
      </c>
      <c r="I110" s="5" t="str">
        <f ca="1"/>
        <v/>
      </c>
      <c r="J110" s="9" t="str">
        <f ca="1"/>
        <v/>
      </c>
      <c r="X110" s="9">
        <f ca="1"/>
        <v>0</v>
      </c>
    </row>
    <row r="111" spans="1:24" ht="14" customHeight="1" x14ac:dyDescent="0.15">
      <c r="A111" s="6">
        <v>59</v>
      </c>
      <c r="B111" s="7">
        <v>46632</v>
      </c>
      <c r="C111" s="5" t="str">
        <f ca="1"/>
        <v/>
      </c>
      <c r="D111" s="5" t="str">
        <f ca="1"/>
        <v/>
      </c>
      <c r="E111" s="5" t="str">
        <f ca="1"/>
        <v/>
      </c>
      <c r="F111" s="5" t="str">
        <f ca="1"/>
        <v/>
      </c>
      <c r="G111" s="5" t="str">
        <f ca="1"/>
        <v/>
      </c>
      <c r="H111" s="5" t="str">
        <f ca="1"/>
        <v/>
      </c>
      <c r="I111" s="5" t="str">
        <f ca="1"/>
        <v/>
      </c>
      <c r="J111" s="9" t="str">
        <f ca="1"/>
        <v/>
      </c>
      <c r="X111" s="9">
        <f ca="1"/>
        <v>0</v>
      </c>
    </row>
    <row r="112" spans="1:24" ht="14" customHeight="1" x14ac:dyDescent="0.15">
      <c r="A112" s="6">
        <v>60</v>
      </c>
      <c r="B112" s="7">
        <v>46662</v>
      </c>
      <c r="C112" s="5" t="str">
        <f ca="1"/>
        <v/>
      </c>
      <c r="D112" s="5" t="str">
        <f ca="1"/>
        <v/>
      </c>
      <c r="E112" s="5" t="str">
        <f ca="1"/>
        <v/>
      </c>
      <c r="F112" s="5" t="str">
        <f ca="1"/>
        <v/>
      </c>
      <c r="G112" s="5" t="str">
        <f ca="1"/>
        <v/>
      </c>
      <c r="H112" s="5" t="str">
        <f ca="1"/>
        <v/>
      </c>
      <c r="I112" s="5" t="str">
        <f ca="1"/>
        <v/>
      </c>
      <c r="J112" s="9" t="str">
        <f ca="1"/>
        <v/>
      </c>
      <c r="X112" s="9">
        <f ca="1"/>
        <v>0</v>
      </c>
    </row>
    <row r="113" spans="10:24" ht="14" customHeight="1" x14ac:dyDescent="0.15">
      <c r="J113" s="9"/>
      <c r="X113" s="9"/>
    </row>
    <row r="114" spans="10:24" ht="14" customHeight="1" x14ac:dyDescent="0.15">
      <c r="J114" s="9"/>
      <c r="X114" s="9"/>
    </row>
    <row r="115" spans="10:24" ht="14" customHeight="1" x14ac:dyDescent="0.15">
      <c r="J115" s="9"/>
      <c r="X115" s="9"/>
    </row>
    <row r="116" spans="10:24" ht="14" customHeight="1" x14ac:dyDescent="0.15">
      <c r="J116" s="9"/>
      <c r="X116" s="9"/>
    </row>
    <row r="117" spans="10:24" ht="14" customHeight="1" x14ac:dyDescent="0.15">
      <c r="J117" s="9"/>
      <c r="X117" s="9"/>
    </row>
    <row r="118" spans="10:24" ht="14" customHeight="1" x14ac:dyDescent="0.15">
      <c r="J118" s="9"/>
      <c r="X118" s="9"/>
    </row>
    <row r="119" spans="10:24" ht="14" customHeight="1" x14ac:dyDescent="0.15">
      <c r="J119" s="9"/>
      <c r="X119" s="9"/>
    </row>
    <row r="120" spans="10:24" ht="14" customHeight="1" x14ac:dyDescent="0.15">
      <c r="J120" s="9"/>
      <c r="X120" s="9"/>
    </row>
    <row r="121" spans="10:24" ht="14" customHeight="1" x14ac:dyDescent="0.15">
      <c r="J121" s="9"/>
      <c r="X121" s="9"/>
    </row>
    <row r="122" spans="10:24" ht="14" customHeight="1" x14ac:dyDescent="0.15">
      <c r="J122" s="9"/>
      <c r="X122" s="9"/>
    </row>
    <row r="123" spans="10:24" ht="14" customHeight="1" x14ac:dyDescent="0.15">
      <c r="J123" s="9"/>
      <c r="X123" s="9"/>
    </row>
    <row r="124" spans="10:24" ht="14" customHeight="1" x14ac:dyDescent="0.15">
      <c r="J124" s="9"/>
      <c r="X124" s="9"/>
    </row>
    <row r="125" spans="10:24" ht="14" customHeight="1" x14ac:dyDescent="0.15">
      <c r="J125" s="9"/>
      <c r="X125" s="9"/>
    </row>
    <row r="126" spans="10:24" ht="14" customHeight="1" x14ac:dyDescent="0.15">
      <c r="J126" s="9"/>
      <c r="X126" s="9"/>
    </row>
    <row r="127" spans="10:24" ht="14" customHeight="1" x14ac:dyDescent="0.15">
      <c r="J127" s="9"/>
      <c r="X127" s="9"/>
    </row>
    <row r="128" spans="10:24" ht="14" customHeight="1" x14ac:dyDescent="0.15">
      <c r="J128" s="9"/>
      <c r="X128" s="9"/>
    </row>
    <row r="129" spans="10:24" ht="14" customHeight="1" x14ac:dyDescent="0.15">
      <c r="J129" s="9"/>
      <c r="X129" s="9"/>
    </row>
    <row r="130" spans="10:24" ht="14" customHeight="1" x14ac:dyDescent="0.15">
      <c r="J130" s="9"/>
      <c r="X130" s="9"/>
    </row>
    <row r="131" spans="10:24" ht="14" customHeight="1" x14ac:dyDescent="0.15">
      <c r="J131" s="9"/>
      <c r="X131" s="9"/>
    </row>
    <row r="132" spans="10:24" ht="14" customHeight="1" x14ac:dyDescent="0.15">
      <c r="J132" s="9"/>
      <c r="X132" s="9"/>
    </row>
    <row r="133" spans="10:24" ht="14" customHeight="1" x14ac:dyDescent="0.15">
      <c r="J133" s="9"/>
      <c r="X133" s="9"/>
    </row>
    <row r="134" spans="10:24" ht="14" customHeight="1" x14ac:dyDescent="0.15">
      <c r="J134" s="9"/>
      <c r="X134" s="9"/>
    </row>
    <row r="135" spans="10:24" ht="14" customHeight="1" x14ac:dyDescent="0.15">
      <c r="J135" s="9"/>
      <c r="X135" s="9"/>
    </row>
    <row r="136" spans="10:24" ht="14" customHeight="1" x14ac:dyDescent="0.15">
      <c r="J136" s="9"/>
      <c r="X136" s="9"/>
    </row>
    <row r="137" spans="10:24" ht="14" customHeight="1" x14ac:dyDescent="0.15">
      <c r="J137" s="9"/>
      <c r="X137" s="9"/>
    </row>
    <row r="138" spans="10:24" ht="14" customHeight="1" x14ac:dyDescent="0.15">
      <c r="J138" s="9"/>
      <c r="X138" s="9"/>
    </row>
    <row r="139" spans="10:24" ht="14" customHeight="1" x14ac:dyDescent="0.15">
      <c r="J139" s="9"/>
      <c r="X139" s="9"/>
    </row>
    <row r="140" spans="10:24" ht="14" customHeight="1" x14ac:dyDescent="0.15">
      <c r="J140" s="9"/>
      <c r="X140" s="9"/>
    </row>
    <row r="141" spans="10:24" ht="14" customHeight="1" x14ac:dyDescent="0.15">
      <c r="J141" s="9"/>
      <c r="X141" s="9"/>
    </row>
    <row r="142" spans="10:24" ht="14" customHeight="1" x14ac:dyDescent="0.15">
      <c r="J142" s="9"/>
      <c r="X142" s="9"/>
    </row>
    <row r="143" spans="10:24" ht="14" customHeight="1" x14ac:dyDescent="0.15">
      <c r="J143" s="9"/>
      <c r="X143" s="9"/>
    </row>
    <row r="144" spans="10:24" ht="14" customHeight="1" x14ac:dyDescent="0.15">
      <c r="J144" s="9"/>
      <c r="X144" s="9"/>
    </row>
    <row r="145" spans="10:24" ht="14" customHeight="1" x14ac:dyDescent="0.15">
      <c r="J145" s="9"/>
      <c r="X145" s="9"/>
    </row>
    <row r="146" spans="10:24" ht="14" customHeight="1" x14ac:dyDescent="0.15">
      <c r="J146" s="9"/>
      <c r="X146" s="9"/>
    </row>
    <row r="147" spans="10:24" ht="14" customHeight="1" x14ac:dyDescent="0.15">
      <c r="J147" s="9"/>
      <c r="X147" s="9"/>
    </row>
    <row r="148" spans="10:24" ht="14" customHeight="1" x14ac:dyDescent="0.15">
      <c r="J148" s="9"/>
      <c r="X148" s="9"/>
    </row>
    <row r="149" spans="10:24" ht="14" customHeight="1" x14ac:dyDescent="0.15">
      <c r="J149" s="9"/>
      <c r="X149" s="9"/>
    </row>
    <row r="150" spans="10:24" ht="14" customHeight="1" x14ac:dyDescent="0.15">
      <c r="J150" s="9"/>
      <c r="X150" s="9"/>
    </row>
    <row r="151" spans="10:24" ht="14" customHeight="1" x14ac:dyDescent="0.15">
      <c r="J151" s="9"/>
      <c r="X151" s="9"/>
    </row>
    <row r="152" spans="10:24" ht="14" customHeight="1" x14ac:dyDescent="0.15">
      <c r="J152" s="9"/>
      <c r="X152" s="9"/>
    </row>
    <row r="153" spans="10:24" ht="14" customHeight="1" x14ac:dyDescent="0.15">
      <c r="J153" s="9"/>
      <c r="X153" s="9"/>
    </row>
    <row r="154" spans="10:24" ht="14" customHeight="1" x14ac:dyDescent="0.15">
      <c r="J154" s="9"/>
      <c r="X154" s="9"/>
    </row>
    <row r="155" spans="10:24" ht="14" customHeight="1" x14ac:dyDescent="0.15">
      <c r="J155" s="9"/>
      <c r="X155" s="9"/>
    </row>
    <row r="156" spans="10:24" ht="14" customHeight="1" x14ac:dyDescent="0.15">
      <c r="J156" s="9"/>
      <c r="X156" s="9"/>
    </row>
    <row r="157" spans="10:24" ht="14" customHeight="1" x14ac:dyDescent="0.15">
      <c r="J157" s="9"/>
      <c r="X157" s="9"/>
    </row>
    <row r="158" spans="10:24" ht="14" customHeight="1" x14ac:dyDescent="0.15">
      <c r="J158" s="9"/>
      <c r="X158" s="9"/>
    </row>
    <row r="159" spans="10:24" ht="14" customHeight="1" x14ac:dyDescent="0.15">
      <c r="J159" s="9"/>
      <c r="X159" s="9"/>
    </row>
    <row r="160" spans="10:24" ht="14" customHeight="1" x14ac:dyDescent="0.15">
      <c r="J160" s="9"/>
      <c r="X160" s="9"/>
    </row>
    <row r="161" spans="10:24" ht="14" customHeight="1" x14ac:dyDescent="0.15">
      <c r="J161" s="9"/>
      <c r="X161" s="9"/>
    </row>
    <row r="162" spans="10:24" ht="14" customHeight="1" x14ac:dyDescent="0.15">
      <c r="J162" s="9"/>
      <c r="X162" s="9"/>
    </row>
    <row r="163" spans="10:24" ht="14" customHeight="1" x14ac:dyDescent="0.15">
      <c r="J163" s="9"/>
      <c r="X163" s="9"/>
    </row>
    <row r="164" spans="10:24" ht="14" customHeight="1" x14ac:dyDescent="0.15">
      <c r="J164" s="9"/>
      <c r="X164" s="9"/>
    </row>
    <row r="165" spans="10:24" ht="14" customHeight="1" x14ac:dyDescent="0.15">
      <c r="J165" s="9"/>
      <c r="X165" s="9"/>
    </row>
    <row r="166" spans="10:24" ht="14" customHeight="1" x14ac:dyDescent="0.15">
      <c r="J166" s="9"/>
      <c r="X166" s="9"/>
    </row>
    <row r="167" spans="10:24" ht="14" customHeight="1" x14ac:dyDescent="0.15">
      <c r="J167" s="9"/>
      <c r="X167" s="9"/>
    </row>
    <row r="168" spans="10:24" ht="14" customHeight="1" x14ac:dyDescent="0.15">
      <c r="J168" s="9"/>
      <c r="X168" s="9"/>
    </row>
    <row r="169" spans="10:24" ht="14" customHeight="1" x14ac:dyDescent="0.15">
      <c r="J169" s="9"/>
      <c r="X169" s="9"/>
    </row>
    <row r="170" spans="10:24" ht="14" customHeight="1" x14ac:dyDescent="0.15">
      <c r="J170" s="9"/>
      <c r="X170" s="9"/>
    </row>
    <row r="171" spans="10:24" ht="14" customHeight="1" x14ac:dyDescent="0.15">
      <c r="J171" s="9"/>
      <c r="X171" s="9"/>
    </row>
    <row r="172" spans="10:24" ht="14" customHeight="1" x14ac:dyDescent="0.15">
      <c r="J172" s="9"/>
      <c r="X172" s="9"/>
    </row>
    <row r="173" spans="10:24" ht="14" customHeight="1" x14ac:dyDescent="0.15">
      <c r="J173" s="9"/>
      <c r="X173" s="9"/>
    </row>
    <row r="174" spans="10:24" ht="14" customHeight="1" x14ac:dyDescent="0.15">
      <c r="J174" s="9"/>
      <c r="X174" s="9"/>
    </row>
    <row r="175" spans="10:24" ht="14" customHeight="1" x14ac:dyDescent="0.15">
      <c r="J175" s="9"/>
      <c r="X175" s="9"/>
    </row>
    <row r="176" spans="10:24" ht="14" customHeight="1" x14ac:dyDescent="0.15">
      <c r="J176" s="9"/>
      <c r="X176" s="9"/>
    </row>
    <row r="177" spans="10:24" ht="14" customHeight="1" x14ac:dyDescent="0.15">
      <c r="J177" s="9"/>
      <c r="X177" s="9"/>
    </row>
    <row r="178" spans="10:24" ht="14" customHeight="1" x14ac:dyDescent="0.15">
      <c r="J178" s="9"/>
      <c r="X178" s="9"/>
    </row>
    <row r="179" spans="10:24" ht="14" customHeight="1" x14ac:dyDescent="0.15">
      <c r="J179" s="9"/>
      <c r="X179" s="9"/>
    </row>
    <row r="180" spans="10:24" ht="14" customHeight="1" x14ac:dyDescent="0.15">
      <c r="J180" s="9"/>
      <c r="X180" s="9"/>
    </row>
    <row r="181" spans="10:24" ht="14" customHeight="1" x14ac:dyDescent="0.15">
      <c r="J181" s="9"/>
      <c r="X181" s="9"/>
    </row>
    <row r="182" spans="10:24" ht="14" customHeight="1" x14ac:dyDescent="0.15">
      <c r="J182" s="9"/>
      <c r="X182" s="9"/>
    </row>
    <row r="183" spans="10:24" ht="14" customHeight="1" x14ac:dyDescent="0.15">
      <c r="J183" s="9"/>
      <c r="X183" s="9"/>
    </row>
    <row r="184" spans="10:24" ht="14" customHeight="1" x14ac:dyDescent="0.15">
      <c r="J184" s="9"/>
      <c r="X184" s="9"/>
    </row>
    <row r="185" spans="10:24" ht="14" customHeight="1" x14ac:dyDescent="0.15">
      <c r="J185" s="9"/>
      <c r="X185" s="9"/>
    </row>
    <row r="186" spans="10:24" ht="14" customHeight="1" x14ac:dyDescent="0.15">
      <c r="J186" s="9"/>
      <c r="X186" s="9"/>
    </row>
    <row r="187" spans="10:24" ht="14" customHeight="1" x14ac:dyDescent="0.15">
      <c r="J187" s="9"/>
      <c r="X187" s="9"/>
    </row>
    <row r="188" spans="10:24" ht="14" customHeight="1" x14ac:dyDescent="0.15">
      <c r="J188" s="9"/>
      <c r="X188" s="9"/>
    </row>
    <row r="189" spans="10:24" ht="14" customHeight="1" x14ac:dyDescent="0.15">
      <c r="J189" s="9"/>
      <c r="X189" s="9"/>
    </row>
    <row r="190" spans="10:24" ht="14" customHeight="1" x14ac:dyDescent="0.15">
      <c r="J190" s="9"/>
      <c r="X190" s="9"/>
    </row>
    <row r="191" spans="10:24" ht="14" customHeight="1" x14ac:dyDescent="0.15">
      <c r="J191" s="9"/>
      <c r="X191" s="9"/>
    </row>
    <row r="192" spans="10:24" ht="14" customHeight="1" x14ac:dyDescent="0.15">
      <c r="J192" s="9"/>
      <c r="X192" s="9"/>
    </row>
    <row r="193" spans="10:24" ht="14" customHeight="1" x14ac:dyDescent="0.15">
      <c r="J193" s="9"/>
      <c r="X193" s="9"/>
    </row>
    <row r="194" spans="10:24" ht="14" customHeight="1" x14ac:dyDescent="0.15">
      <c r="J194" s="9"/>
      <c r="X194" s="9"/>
    </row>
    <row r="195" spans="10:24" ht="14" customHeight="1" x14ac:dyDescent="0.15">
      <c r="J195" s="9"/>
      <c r="X195" s="9"/>
    </row>
    <row r="196" spans="10:24" ht="14" customHeight="1" x14ac:dyDescent="0.15">
      <c r="J196" s="9"/>
      <c r="X196" s="9"/>
    </row>
    <row r="197" spans="10:24" ht="14" customHeight="1" x14ac:dyDescent="0.15">
      <c r="J197" s="9"/>
      <c r="X197" s="9"/>
    </row>
    <row r="198" spans="10:24" ht="14" customHeight="1" x14ac:dyDescent="0.15">
      <c r="J198" s="9"/>
      <c r="X198" s="9"/>
    </row>
    <row r="199" spans="10:24" ht="14" customHeight="1" x14ac:dyDescent="0.15">
      <c r="J199" s="9"/>
      <c r="X199" s="9"/>
    </row>
    <row r="200" spans="10:24" ht="14" customHeight="1" x14ac:dyDescent="0.15">
      <c r="J200" s="9"/>
      <c r="X200" s="9"/>
    </row>
    <row r="201" spans="10:24" ht="14" customHeight="1" x14ac:dyDescent="0.15">
      <c r="J201" s="9"/>
      <c r="X201" s="9"/>
    </row>
    <row r="202" spans="10:24" ht="14" customHeight="1" x14ac:dyDescent="0.15">
      <c r="J202" s="9"/>
      <c r="X202" s="9"/>
    </row>
    <row r="203" spans="10:24" ht="14" customHeight="1" x14ac:dyDescent="0.15">
      <c r="J203" s="9"/>
      <c r="X203" s="9"/>
    </row>
    <row r="204" spans="10:24" ht="14" customHeight="1" x14ac:dyDescent="0.15">
      <c r="J204" s="9"/>
      <c r="X204" s="9"/>
    </row>
    <row r="205" spans="10:24" ht="14" customHeight="1" x14ac:dyDescent="0.15">
      <c r="J205" s="9"/>
      <c r="X205" s="9"/>
    </row>
    <row r="206" spans="10:24" ht="14" customHeight="1" x14ac:dyDescent="0.15">
      <c r="J206" s="9"/>
      <c r="X206" s="9"/>
    </row>
    <row r="207" spans="10:24" ht="14" customHeight="1" x14ac:dyDescent="0.15">
      <c r="J207" s="9"/>
      <c r="X207" s="9"/>
    </row>
    <row r="208" spans="10:24" ht="14" customHeight="1" x14ac:dyDescent="0.15">
      <c r="J208" s="9"/>
      <c r="X208" s="9"/>
    </row>
    <row r="209" spans="10:24" ht="14" customHeight="1" x14ac:dyDescent="0.15">
      <c r="J209" s="9"/>
      <c r="X209" s="9"/>
    </row>
    <row r="210" spans="10:24" ht="14" customHeight="1" x14ac:dyDescent="0.15">
      <c r="J210" s="9"/>
      <c r="X210" s="9"/>
    </row>
    <row r="211" spans="10:24" ht="14" customHeight="1" x14ac:dyDescent="0.15">
      <c r="J211" s="9"/>
      <c r="X211" s="9"/>
    </row>
    <row r="212" spans="10:24" ht="14" customHeight="1" x14ac:dyDescent="0.15">
      <c r="J212" s="9"/>
      <c r="X212" s="9"/>
    </row>
    <row r="213" spans="10:24" ht="14" customHeight="1" x14ac:dyDescent="0.15">
      <c r="J213" s="9"/>
      <c r="X213" s="9"/>
    </row>
    <row r="214" spans="10:24" ht="14" customHeight="1" x14ac:dyDescent="0.15">
      <c r="J214" s="9"/>
      <c r="X214" s="9"/>
    </row>
    <row r="215" spans="10:24" ht="14" customHeight="1" x14ac:dyDescent="0.15">
      <c r="J215" s="9"/>
      <c r="X215" s="9"/>
    </row>
    <row r="216" spans="10:24" ht="14" customHeight="1" x14ac:dyDescent="0.15">
      <c r="J216" s="9"/>
      <c r="X216" s="9"/>
    </row>
    <row r="217" spans="10:24" ht="14" customHeight="1" x14ac:dyDescent="0.15">
      <c r="J217" s="9"/>
      <c r="X217" s="9"/>
    </row>
    <row r="218" spans="10:24" ht="14" customHeight="1" x14ac:dyDescent="0.15">
      <c r="J218" s="9"/>
      <c r="X218" s="9"/>
    </row>
    <row r="219" spans="10:24" ht="14" customHeight="1" x14ac:dyDescent="0.15">
      <c r="J219" s="9"/>
      <c r="X219" s="9"/>
    </row>
    <row r="220" spans="10:24" ht="14" customHeight="1" x14ac:dyDescent="0.15">
      <c r="J220" s="9"/>
      <c r="X220" s="9"/>
    </row>
    <row r="221" spans="10:24" ht="14" customHeight="1" x14ac:dyDescent="0.15">
      <c r="J221" s="9"/>
      <c r="X221" s="9"/>
    </row>
    <row r="222" spans="10:24" ht="14" customHeight="1" x14ac:dyDescent="0.15">
      <c r="J222" s="9"/>
      <c r="X222" s="9"/>
    </row>
    <row r="223" spans="10:24" ht="14" customHeight="1" x14ac:dyDescent="0.15">
      <c r="J223" s="9"/>
      <c r="X223" s="9"/>
    </row>
    <row r="224" spans="10:24" ht="14" customHeight="1" x14ac:dyDescent="0.15">
      <c r="J224" s="9"/>
      <c r="X224" s="9"/>
    </row>
    <row r="225" spans="10:24" ht="14" customHeight="1" x14ac:dyDescent="0.15">
      <c r="J225" s="9"/>
      <c r="X225" s="9"/>
    </row>
    <row r="226" spans="10:24" ht="14" customHeight="1" x14ac:dyDescent="0.15">
      <c r="J226" s="9"/>
      <c r="X226" s="9"/>
    </row>
    <row r="227" spans="10:24" ht="14" customHeight="1" x14ac:dyDescent="0.15">
      <c r="J227" s="9"/>
      <c r="X227" s="9"/>
    </row>
    <row r="228" spans="10:24" ht="14" customHeight="1" x14ac:dyDescent="0.15">
      <c r="J228" s="9"/>
      <c r="X228" s="9"/>
    </row>
    <row r="229" spans="10:24" ht="14" customHeight="1" x14ac:dyDescent="0.15">
      <c r="J229" s="9"/>
      <c r="X229" s="9"/>
    </row>
    <row r="230" spans="10:24" ht="14" customHeight="1" x14ac:dyDescent="0.15">
      <c r="J230" s="9"/>
      <c r="X230" s="9"/>
    </row>
    <row r="231" spans="10:24" ht="14" customHeight="1" x14ac:dyDescent="0.15">
      <c r="J231" s="9"/>
      <c r="X231" s="9"/>
    </row>
    <row r="232" spans="10:24" ht="14" customHeight="1" x14ac:dyDescent="0.15">
      <c r="J232" s="9"/>
      <c r="X232" s="9"/>
    </row>
    <row r="233" spans="10:24" ht="14" customHeight="1" x14ac:dyDescent="0.15">
      <c r="J233" s="9"/>
      <c r="X233" s="9"/>
    </row>
    <row r="234" spans="10:24" ht="14" customHeight="1" x14ac:dyDescent="0.15">
      <c r="J234" s="9"/>
      <c r="X234" s="9"/>
    </row>
    <row r="235" spans="10:24" ht="14" customHeight="1" x14ac:dyDescent="0.15">
      <c r="J235" s="9"/>
      <c r="X235" s="9"/>
    </row>
    <row r="236" spans="10:24" ht="14" customHeight="1" x14ac:dyDescent="0.15">
      <c r="J236" s="9"/>
      <c r="X236" s="9"/>
    </row>
    <row r="237" spans="10:24" ht="14" customHeight="1" x14ac:dyDescent="0.15">
      <c r="J237" s="9"/>
      <c r="X237" s="9"/>
    </row>
    <row r="238" spans="10:24" ht="14" customHeight="1" x14ac:dyDescent="0.15">
      <c r="J238" s="9"/>
      <c r="X238" s="9"/>
    </row>
    <row r="239" spans="10:24" ht="14" customHeight="1" x14ac:dyDescent="0.15">
      <c r="J239" s="9"/>
      <c r="X239" s="9"/>
    </row>
    <row r="240" spans="10:24" ht="14" customHeight="1" x14ac:dyDescent="0.15">
      <c r="J240" s="9"/>
      <c r="X240" s="9"/>
    </row>
    <row r="241" spans="10:24" ht="14" customHeight="1" x14ac:dyDescent="0.15">
      <c r="J241" s="9"/>
      <c r="X241" s="9"/>
    </row>
    <row r="242" spans="10:24" ht="14" customHeight="1" x14ac:dyDescent="0.15">
      <c r="J242" s="9"/>
      <c r="X242" s="9"/>
    </row>
    <row r="243" spans="10:24" ht="14" customHeight="1" x14ac:dyDescent="0.15">
      <c r="J243" s="9"/>
      <c r="X243" s="9"/>
    </row>
    <row r="244" spans="10:24" ht="14" customHeight="1" x14ac:dyDescent="0.15">
      <c r="J244" s="9"/>
      <c r="X244" s="9"/>
    </row>
    <row r="245" spans="10:24" ht="14" customHeight="1" x14ac:dyDescent="0.15">
      <c r="J245" s="9"/>
      <c r="X245" s="9"/>
    </row>
    <row r="246" spans="10:24" ht="14" customHeight="1" x14ac:dyDescent="0.15">
      <c r="J246" s="9"/>
      <c r="X246" s="9"/>
    </row>
    <row r="247" spans="10:24" ht="14" customHeight="1" x14ac:dyDescent="0.15">
      <c r="J247" s="9"/>
      <c r="X247" s="9"/>
    </row>
    <row r="248" spans="10:24" ht="14" customHeight="1" x14ac:dyDescent="0.15">
      <c r="J248" s="9"/>
      <c r="X248" s="9"/>
    </row>
    <row r="249" spans="10:24" ht="14" customHeight="1" x14ac:dyDescent="0.15">
      <c r="J249" s="9"/>
      <c r="X249" s="9"/>
    </row>
    <row r="250" spans="10:24" ht="14" customHeight="1" x14ac:dyDescent="0.15">
      <c r="J250" s="9"/>
      <c r="X250" s="9"/>
    </row>
    <row r="251" spans="10:24" ht="14" customHeight="1" x14ac:dyDescent="0.15">
      <c r="J251" s="9"/>
      <c r="X251" s="9"/>
    </row>
    <row r="252" spans="10:24" ht="14" customHeight="1" x14ac:dyDescent="0.15">
      <c r="J252" s="9"/>
      <c r="X252" s="9"/>
    </row>
    <row r="253" spans="10:24" ht="14" customHeight="1" x14ac:dyDescent="0.15">
      <c r="J253" s="9"/>
      <c r="X253" s="9"/>
    </row>
    <row r="254" spans="10:24" ht="14" customHeight="1" x14ac:dyDescent="0.15">
      <c r="J254" s="9"/>
      <c r="X254" s="9"/>
    </row>
    <row r="255" spans="10:24" ht="14" customHeight="1" x14ac:dyDescent="0.15">
      <c r="J255" s="9"/>
      <c r="X255" s="9"/>
    </row>
    <row r="256" spans="10:24" ht="14" customHeight="1" x14ac:dyDescent="0.15">
      <c r="J256" s="9"/>
      <c r="X256" s="9"/>
    </row>
    <row r="257" spans="10:24" ht="14" customHeight="1" x14ac:dyDescent="0.15">
      <c r="J257" s="9"/>
      <c r="X257" s="9"/>
    </row>
    <row r="258" spans="10:24" ht="14" customHeight="1" x14ac:dyDescent="0.15">
      <c r="J258" s="9"/>
      <c r="X258" s="9"/>
    </row>
    <row r="259" spans="10:24" ht="14" customHeight="1" x14ac:dyDescent="0.15">
      <c r="J259" s="9"/>
      <c r="X259" s="9"/>
    </row>
    <row r="260" spans="10:24" ht="14" customHeight="1" x14ac:dyDescent="0.15">
      <c r="J260" s="9"/>
      <c r="X260" s="9"/>
    </row>
    <row r="261" spans="10:24" ht="14" customHeight="1" x14ac:dyDescent="0.15">
      <c r="J261" s="9"/>
      <c r="X261" s="9"/>
    </row>
    <row r="262" spans="10:24" ht="14" customHeight="1" x14ac:dyDescent="0.15">
      <c r="J262" s="9"/>
      <c r="X262" s="9"/>
    </row>
    <row r="263" spans="10:24" ht="14" customHeight="1" x14ac:dyDescent="0.15">
      <c r="J263" s="9"/>
      <c r="X263" s="9"/>
    </row>
    <row r="264" spans="10:24" ht="14" customHeight="1" x14ac:dyDescent="0.15">
      <c r="J264" s="9"/>
      <c r="X264" s="9"/>
    </row>
    <row r="265" spans="10:24" ht="14" customHeight="1" x14ac:dyDescent="0.15">
      <c r="J265" s="9"/>
      <c r="X265" s="9"/>
    </row>
    <row r="266" spans="10:24" ht="14" customHeight="1" x14ac:dyDescent="0.15">
      <c r="J266" s="9"/>
      <c r="X266" s="9"/>
    </row>
    <row r="267" spans="10:24" ht="14" customHeight="1" x14ac:dyDescent="0.15">
      <c r="J267" s="9"/>
      <c r="X267" s="9"/>
    </row>
    <row r="268" spans="10:24" ht="14" customHeight="1" x14ac:dyDescent="0.15">
      <c r="J268" s="9"/>
      <c r="X268" s="9"/>
    </row>
    <row r="269" spans="10:24" ht="14" customHeight="1" x14ac:dyDescent="0.15">
      <c r="J269" s="9"/>
      <c r="X269" s="9"/>
    </row>
    <row r="270" spans="10:24" ht="14" customHeight="1" x14ac:dyDescent="0.15">
      <c r="J270" s="9"/>
      <c r="X270" s="9"/>
    </row>
    <row r="271" spans="10:24" ht="14" customHeight="1" x14ac:dyDescent="0.15">
      <c r="J271" s="9"/>
      <c r="X271" s="9"/>
    </row>
    <row r="272" spans="10:24" ht="14" customHeight="1" x14ac:dyDescent="0.15">
      <c r="J272" s="9"/>
      <c r="X272" s="9"/>
    </row>
    <row r="273" spans="10:24" ht="14" customHeight="1" x14ac:dyDescent="0.15">
      <c r="J273" s="9"/>
      <c r="X273" s="9"/>
    </row>
    <row r="274" spans="10:24" ht="14" customHeight="1" x14ac:dyDescent="0.15">
      <c r="J274" s="9"/>
      <c r="X274" s="9"/>
    </row>
    <row r="275" spans="10:24" ht="14" customHeight="1" x14ac:dyDescent="0.15">
      <c r="J275" s="9"/>
      <c r="X275" s="9"/>
    </row>
    <row r="276" spans="10:24" ht="14" customHeight="1" x14ac:dyDescent="0.15">
      <c r="J276" s="9"/>
      <c r="X276" s="9"/>
    </row>
    <row r="277" spans="10:24" ht="14" customHeight="1" x14ac:dyDescent="0.15">
      <c r="J277" s="9"/>
      <c r="X277" s="9"/>
    </row>
    <row r="278" spans="10:24" ht="14" customHeight="1" x14ac:dyDescent="0.15">
      <c r="J278" s="9"/>
      <c r="X278" s="9"/>
    </row>
    <row r="279" spans="10:24" ht="14" customHeight="1" x14ac:dyDescent="0.15">
      <c r="J279" s="9"/>
      <c r="X279" s="9"/>
    </row>
    <row r="280" spans="10:24" ht="14" customHeight="1" x14ac:dyDescent="0.15">
      <c r="J280" s="9"/>
      <c r="X280" s="9"/>
    </row>
    <row r="281" spans="10:24" ht="14" customHeight="1" x14ac:dyDescent="0.15">
      <c r="J281" s="9"/>
      <c r="X281" s="9"/>
    </row>
    <row r="282" spans="10:24" ht="14" customHeight="1" x14ac:dyDescent="0.15">
      <c r="J282" s="9"/>
      <c r="X282" s="9"/>
    </row>
    <row r="283" spans="10:24" ht="14" customHeight="1" x14ac:dyDescent="0.15">
      <c r="J283" s="9"/>
      <c r="X283" s="9"/>
    </row>
    <row r="284" spans="10:24" ht="14" customHeight="1" x14ac:dyDescent="0.15">
      <c r="J284" s="9"/>
      <c r="X284" s="9"/>
    </row>
    <row r="285" spans="10:24" ht="14" customHeight="1" x14ac:dyDescent="0.15">
      <c r="J285" s="9"/>
      <c r="X285" s="9"/>
    </row>
    <row r="286" spans="10:24" ht="14" customHeight="1" x14ac:dyDescent="0.15">
      <c r="J286" s="9"/>
      <c r="X286" s="9"/>
    </row>
    <row r="287" spans="10:24" ht="14" customHeight="1" x14ac:dyDescent="0.15">
      <c r="J287" s="9"/>
      <c r="X287" s="9"/>
    </row>
    <row r="288" spans="10:24" ht="14" customHeight="1" x14ac:dyDescent="0.15">
      <c r="J288" s="9"/>
      <c r="X288" s="9"/>
    </row>
    <row r="289" spans="10:24" ht="14" customHeight="1" x14ac:dyDescent="0.15">
      <c r="J289" s="9"/>
      <c r="X289" s="9"/>
    </row>
    <row r="290" spans="10:24" ht="14" customHeight="1" x14ac:dyDescent="0.15">
      <c r="J290" s="9"/>
      <c r="X290" s="9"/>
    </row>
    <row r="291" spans="10:24" ht="14" customHeight="1" x14ac:dyDescent="0.15">
      <c r="J291" s="9"/>
      <c r="X291" s="9"/>
    </row>
    <row r="292" spans="10:24" ht="14" customHeight="1" x14ac:dyDescent="0.15">
      <c r="J292" s="9"/>
      <c r="X292" s="9"/>
    </row>
    <row r="293" spans="10:24" ht="14" customHeight="1" x14ac:dyDescent="0.15">
      <c r="J293" s="9"/>
      <c r="X293" s="9"/>
    </row>
    <row r="294" spans="10:24" ht="14" customHeight="1" x14ac:dyDescent="0.15">
      <c r="J294" s="9"/>
      <c r="X294" s="9"/>
    </row>
    <row r="295" spans="10:24" ht="14" customHeight="1" x14ac:dyDescent="0.15">
      <c r="J295" s="9"/>
      <c r="X295" s="9"/>
    </row>
    <row r="296" spans="10:24" ht="14" customHeight="1" x14ac:dyDescent="0.15">
      <c r="J296" s="9"/>
      <c r="X296" s="9"/>
    </row>
    <row r="297" spans="10:24" ht="14" customHeight="1" x14ac:dyDescent="0.15">
      <c r="J297" s="9"/>
      <c r="X297" s="9"/>
    </row>
    <row r="298" spans="10:24" ht="14" customHeight="1" x14ac:dyDescent="0.15">
      <c r="J298" s="9"/>
      <c r="X298" s="9"/>
    </row>
    <row r="299" spans="10:24" ht="14" customHeight="1" x14ac:dyDescent="0.15">
      <c r="J299" s="9"/>
      <c r="X299" s="9"/>
    </row>
    <row r="300" spans="10:24" ht="14" customHeight="1" x14ac:dyDescent="0.15">
      <c r="J300" s="9"/>
      <c r="X300" s="9"/>
    </row>
    <row r="301" spans="10:24" ht="14" customHeight="1" x14ac:dyDescent="0.15">
      <c r="J301" s="9"/>
      <c r="X301" s="9"/>
    </row>
    <row r="302" spans="10:24" ht="14" customHeight="1" x14ac:dyDescent="0.15">
      <c r="J302" s="9"/>
      <c r="X302" s="9"/>
    </row>
    <row r="303" spans="10:24" ht="14" customHeight="1" x14ac:dyDescent="0.15">
      <c r="J303" s="9"/>
      <c r="X303" s="9"/>
    </row>
    <row r="304" spans="10:24" ht="14" customHeight="1" x14ac:dyDescent="0.15">
      <c r="J304" s="9"/>
      <c r="X304" s="9"/>
    </row>
    <row r="305" spans="10:24" ht="14" customHeight="1" x14ac:dyDescent="0.15">
      <c r="J305" s="9"/>
      <c r="X305" s="9"/>
    </row>
    <row r="306" spans="10:24" ht="14" customHeight="1" x14ac:dyDescent="0.15">
      <c r="J306" s="9"/>
      <c r="X306" s="9"/>
    </row>
    <row r="307" spans="10:24" ht="14" customHeight="1" x14ac:dyDescent="0.15">
      <c r="J307" s="9"/>
      <c r="X307" s="9"/>
    </row>
    <row r="308" spans="10:24" ht="14" customHeight="1" x14ac:dyDescent="0.15">
      <c r="J308" s="9"/>
      <c r="X308" s="9"/>
    </row>
    <row r="309" spans="10:24" ht="14" customHeight="1" x14ac:dyDescent="0.15">
      <c r="J309" s="9"/>
      <c r="X309" s="9"/>
    </row>
    <row r="310" spans="10:24" ht="14" customHeight="1" x14ac:dyDescent="0.15">
      <c r="J310" s="9"/>
      <c r="X310" s="9"/>
    </row>
    <row r="311" spans="10:24" ht="14" customHeight="1" x14ac:dyDescent="0.15">
      <c r="J311" s="9"/>
      <c r="X311" s="9"/>
    </row>
    <row r="312" spans="10:24" ht="14" customHeight="1" x14ac:dyDescent="0.15">
      <c r="J312" s="9"/>
      <c r="X312" s="9"/>
    </row>
    <row r="313" spans="10:24" ht="14" customHeight="1" x14ac:dyDescent="0.15">
      <c r="J313" s="9"/>
      <c r="X313" s="9"/>
    </row>
    <row r="314" spans="10:24" ht="14" customHeight="1" x14ac:dyDescent="0.15">
      <c r="J314" s="9"/>
      <c r="X314" s="9"/>
    </row>
    <row r="315" spans="10:24" ht="14" customHeight="1" x14ac:dyDescent="0.15">
      <c r="J315" s="9"/>
      <c r="X315" s="9"/>
    </row>
    <row r="316" spans="10:24" ht="14" customHeight="1" x14ac:dyDescent="0.15">
      <c r="J316" s="9"/>
      <c r="X316" s="9"/>
    </row>
    <row r="317" spans="10:24" ht="14" customHeight="1" x14ac:dyDescent="0.15">
      <c r="J317" s="9"/>
      <c r="X317" s="9"/>
    </row>
    <row r="318" spans="10:24" ht="14" customHeight="1" x14ac:dyDescent="0.15">
      <c r="J318" s="9"/>
      <c r="X318" s="9"/>
    </row>
    <row r="319" spans="10:24" ht="14" customHeight="1" x14ac:dyDescent="0.15">
      <c r="J319" s="9"/>
      <c r="X319" s="9"/>
    </row>
    <row r="320" spans="10:24" ht="14" customHeight="1" x14ac:dyDescent="0.15">
      <c r="J320" s="9"/>
      <c r="X320" s="9"/>
    </row>
    <row r="321" spans="10:24" ht="14" customHeight="1" x14ac:dyDescent="0.15">
      <c r="J321" s="9"/>
      <c r="X321" s="9"/>
    </row>
    <row r="322" spans="10:24" ht="14" customHeight="1" x14ac:dyDescent="0.15">
      <c r="J322" s="9"/>
      <c r="X322" s="9"/>
    </row>
    <row r="323" spans="10:24" ht="14" customHeight="1" x14ac:dyDescent="0.15">
      <c r="J323" s="9"/>
      <c r="X323" s="9"/>
    </row>
    <row r="324" spans="10:24" ht="14" customHeight="1" x14ac:dyDescent="0.15">
      <c r="J324" s="9"/>
      <c r="X324" s="9"/>
    </row>
    <row r="325" spans="10:24" ht="14" customHeight="1" x14ac:dyDescent="0.15">
      <c r="J325" s="9"/>
      <c r="X325" s="9"/>
    </row>
    <row r="326" spans="10:24" ht="14" customHeight="1" x14ac:dyDescent="0.15">
      <c r="J326" s="9"/>
      <c r="X326" s="9"/>
    </row>
    <row r="327" spans="10:24" ht="14" customHeight="1" x14ac:dyDescent="0.15">
      <c r="J327" s="9"/>
      <c r="X327" s="9"/>
    </row>
    <row r="328" spans="10:24" ht="14" customHeight="1" x14ac:dyDescent="0.15">
      <c r="J328" s="9"/>
      <c r="X328" s="9"/>
    </row>
    <row r="329" spans="10:24" ht="14" customHeight="1" x14ac:dyDescent="0.15">
      <c r="J329" s="9"/>
      <c r="X329" s="9"/>
    </row>
    <row r="330" spans="10:24" ht="14" customHeight="1" x14ac:dyDescent="0.15">
      <c r="J330" s="9"/>
      <c r="X330" s="9"/>
    </row>
    <row r="331" spans="10:24" ht="14" customHeight="1" x14ac:dyDescent="0.15">
      <c r="J331" s="9"/>
      <c r="X331" s="9"/>
    </row>
    <row r="332" spans="10:24" ht="14" customHeight="1" x14ac:dyDescent="0.15">
      <c r="J332" s="9"/>
      <c r="X332" s="9"/>
    </row>
    <row r="333" spans="10:24" ht="14" customHeight="1" x14ac:dyDescent="0.15">
      <c r="J333" s="9"/>
      <c r="X333" s="9"/>
    </row>
    <row r="334" spans="10:24" ht="14" customHeight="1" x14ac:dyDescent="0.15">
      <c r="J334" s="9"/>
      <c r="X334" s="9"/>
    </row>
    <row r="335" spans="10:24" ht="14" customHeight="1" x14ac:dyDescent="0.15">
      <c r="J335" s="9"/>
      <c r="X335" s="9"/>
    </row>
    <row r="336" spans="10:24" ht="14" customHeight="1" x14ac:dyDescent="0.15">
      <c r="J336" s="9"/>
      <c r="X336" s="9"/>
    </row>
    <row r="337" spans="10:24" ht="14" customHeight="1" x14ac:dyDescent="0.15">
      <c r="J337" s="9"/>
      <c r="X337" s="9"/>
    </row>
    <row r="338" spans="10:24" ht="14" customHeight="1" x14ac:dyDescent="0.15">
      <c r="J338" s="9"/>
      <c r="X338" s="9"/>
    </row>
    <row r="339" spans="10:24" ht="14" customHeight="1" x14ac:dyDescent="0.15">
      <c r="J339" s="9"/>
      <c r="X339" s="9"/>
    </row>
    <row r="340" spans="10:24" ht="14" customHeight="1" x14ac:dyDescent="0.15">
      <c r="J340" s="9"/>
      <c r="X340" s="9"/>
    </row>
    <row r="341" spans="10:24" ht="14" customHeight="1" x14ac:dyDescent="0.15">
      <c r="J341" s="9"/>
      <c r="X341" s="9"/>
    </row>
    <row r="342" spans="10:24" ht="14" customHeight="1" x14ac:dyDescent="0.15">
      <c r="J342" s="9"/>
      <c r="X342" s="9"/>
    </row>
    <row r="343" spans="10:24" ht="14" customHeight="1" x14ac:dyDescent="0.15">
      <c r="J343" s="9"/>
      <c r="X343" s="9"/>
    </row>
    <row r="344" spans="10:24" ht="14" customHeight="1" x14ac:dyDescent="0.15">
      <c r="J344" s="9"/>
      <c r="X344" s="9"/>
    </row>
    <row r="345" spans="10:24" ht="14" customHeight="1" x14ac:dyDescent="0.15">
      <c r="J345" s="9"/>
      <c r="X345" s="9"/>
    </row>
    <row r="346" spans="10:24" ht="14" customHeight="1" x14ac:dyDescent="0.15">
      <c r="J346" s="9"/>
      <c r="X346" s="9"/>
    </row>
    <row r="347" spans="10:24" ht="14" customHeight="1" x14ac:dyDescent="0.15">
      <c r="J347" s="9"/>
      <c r="X347" s="9"/>
    </row>
    <row r="348" spans="10:24" ht="14" customHeight="1" x14ac:dyDescent="0.15">
      <c r="J348" s="9"/>
      <c r="X348" s="9"/>
    </row>
    <row r="349" spans="10:24" ht="14" customHeight="1" x14ac:dyDescent="0.15">
      <c r="J349" s="9"/>
      <c r="X349" s="9"/>
    </row>
    <row r="350" spans="10:24" ht="14" customHeight="1" x14ac:dyDescent="0.15">
      <c r="J350" s="9"/>
      <c r="X350" s="9"/>
    </row>
    <row r="351" spans="10:24" ht="14" customHeight="1" x14ac:dyDescent="0.15">
      <c r="J351" s="9"/>
      <c r="X351" s="9"/>
    </row>
    <row r="352" spans="10:24" ht="14" customHeight="1" x14ac:dyDescent="0.15">
      <c r="J352" s="9"/>
      <c r="X352" s="9"/>
    </row>
    <row r="353" spans="10:24" ht="14" customHeight="1" x14ac:dyDescent="0.15">
      <c r="J353" s="9"/>
      <c r="X353" s="9"/>
    </row>
    <row r="354" spans="10:24" ht="14" customHeight="1" x14ac:dyDescent="0.15">
      <c r="J354" s="9"/>
      <c r="X354" s="9"/>
    </row>
    <row r="355" spans="10:24" ht="14" customHeight="1" x14ac:dyDescent="0.15">
      <c r="J355" s="9"/>
      <c r="X355" s="9"/>
    </row>
    <row r="356" spans="10:24" ht="14" customHeight="1" x14ac:dyDescent="0.15">
      <c r="J356" s="9"/>
      <c r="X356" s="9"/>
    </row>
    <row r="357" spans="10:24" ht="14" customHeight="1" x14ac:dyDescent="0.15">
      <c r="J357" s="9"/>
      <c r="X357" s="9"/>
    </row>
    <row r="358" spans="10:24" ht="14" customHeight="1" x14ac:dyDescent="0.15">
      <c r="J358" s="9"/>
      <c r="X358" s="9"/>
    </row>
    <row r="359" spans="10:24" ht="14" customHeight="1" x14ac:dyDescent="0.15">
      <c r="J359" s="9"/>
      <c r="X359" s="9"/>
    </row>
    <row r="360" spans="10:24" ht="14" customHeight="1" x14ac:dyDescent="0.15">
      <c r="J360" s="9"/>
      <c r="X360" s="9"/>
    </row>
    <row r="361" spans="10:24" ht="14" customHeight="1" x14ac:dyDescent="0.15">
      <c r="J361" s="9"/>
      <c r="X361" s="9"/>
    </row>
    <row r="362" spans="10:24" ht="14" customHeight="1" x14ac:dyDescent="0.15">
      <c r="J362" s="9"/>
      <c r="X362" s="9"/>
    </row>
    <row r="363" spans="10:24" ht="14" customHeight="1" x14ac:dyDescent="0.15">
      <c r="J363" s="9"/>
      <c r="X363" s="9"/>
    </row>
    <row r="364" spans="10:24" ht="14" customHeight="1" x14ac:dyDescent="0.15">
      <c r="J364" s="9"/>
      <c r="X364" s="9"/>
    </row>
    <row r="365" spans="10:24" ht="14" customHeight="1" x14ac:dyDescent="0.15">
      <c r="J365" s="9"/>
      <c r="X365" s="9"/>
    </row>
    <row r="366" spans="10:24" ht="14" customHeight="1" x14ac:dyDescent="0.15">
      <c r="J366" s="9"/>
      <c r="X366" s="9"/>
    </row>
    <row r="367" spans="10:24" ht="14" customHeight="1" x14ac:dyDescent="0.15">
      <c r="J367" s="9"/>
      <c r="X367" s="9"/>
    </row>
    <row r="368" spans="10:24" ht="14" customHeight="1" x14ac:dyDescent="0.15">
      <c r="J368" s="9"/>
      <c r="X368" s="9"/>
    </row>
    <row r="369" spans="10:24" ht="14" customHeight="1" x14ac:dyDescent="0.15">
      <c r="J369" s="9"/>
      <c r="X369" s="9"/>
    </row>
    <row r="370" spans="10:24" ht="14" customHeight="1" x14ac:dyDescent="0.15">
      <c r="J370" s="9"/>
      <c r="X370" s="9"/>
    </row>
    <row r="371" spans="10:24" ht="14" customHeight="1" x14ac:dyDescent="0.15">
      <c r="J371" s="9"/>
      <c r="X371" s="9"/>
    </row>
    <row r="372" spans="10:24" ht="14" customHeight="1" x14ac:dyDescent="0.15">
      <c r="J372" s="9"/>
      <c r="X372" s="9"/>
    </row>
    <row r="373" spans="10:24" ht="14" customHeight="1" x14ac:dyDescent="0.15">
      <c r="J373" s="9"/>
      <c r="X373" s="9"/>
    </row>
    <row r="374" spans="10:24" ht="14" customHeight="1" x14ac:dyDescent="0.15">
      <c r="J374" s="9"/>
      <c r="X374" s="9"/>
    </row>
    <row r="375" spans="10:24" ht="14" customHeight="1" x14ac:dyDescent="0.15">
      <c r="J375" s="9"/>
      <c r="X375" s="9"/>
    </row>
    <row r="376" spans="10:24" ht="14" customHeight="1" x14ac:dyDescent="0.15">
      <c r="J376" s="9"/>
      <c r="X376" s="9"/>
    </row>
    <row r="377" spans="10:24" ht="14" customHeight="1" x14ac:dyDescent="0.15">
      <c r="J377" s="9"/>
      <c r="X377" s="9"/>
    </row>
    <row r="378" spans="10:24" ht="14" customHeight="1" x14ac:dyDescent="0.15">
      <c r="J378" s="9"/>
      <c r="X378" s="9"/>
    </row>
    <row r="379" spans="10:24" ht="14" customHeight="1" x14ac:dyDescent="0.15">
      <c r="J379" s="9"/>
      <c r="X379" s="9"/>
    </row>
    <row r="380" spans="10:24" ht="14" customHeight="1" x14ac:dyDescent="0.15">
      <c r="J380" s="9"/>
      <c r="X380" s="9"/>
    </row>
    <row r="381" spans="10:24" ht="14" customHeight="1" x14ac:dyDescent="0.15">
      <c r="J381" s="9"/>
      <c r="X381" s="9"/>
    </row>
    <row r="382" spans="10:24" ht="14" customHeight="1" x14ac:dyDescent="0.15">
      <c r="J382" s="9"/>
      <c r="X382" s="9"/>
    </row>
    <row r="383" spans="10:24" ht="14" customHeight="1" x14ac:dyDescent="0.15">
      <c r="J383" s="9"/>
      <c r="X383" s="9"/>
    </row>
    <row r="384" spans="10:24" ht="14" customHeight="1" x14ac:dyDescent="0.15">
      <c r="J384" s="9"/>
      <c r="X384" s="9"/>
    </row>
    <row r="385" spans="10:24" ht="14" customHeight="1" x14ac:dyDescent="0.15">
      <c r="J385" s="9"/>
      <c r="X385" s="9"/>
    </row>
    <row r="386" spans="10:24" ht="14" customHeight="1" x14ac:dyDescent="0.15">
      <c r="J386" s="9"/>
      <c r="X386" s="9"/>
    </row>
    <row r="387" spans="10:24" ht="14" customHeight="1" x14ac:dyDescent="0.15">
      <c r="J387" s="9"/>
      <c r="X387" s="9"/>
    </row>
    <row r="388" spans="10:24" ht="14" customHeight="1" x14ac:dyDescent="0.15">
      <c r="J388" s="9"/>
      <c r="X388" s="9"/>
    </row>
    <row r="389" spans="10:24" ht="14" customHeight="1" x14ac:dyDescent="0.15">
      <c r="J389" s="9"/>
      <c r="X389" s="9"/>
    </row>
    <row r="390" spans="10:24" ht="14" customHeight="1" x14ac:dyDescent="0.15">
      <c r="J390" s="9"/>
      <c r="X390" s="9"/>
    </row>
    <row r="391" spans="10:24" ht="14" customHeight="1" x14ac:dyDescent="0.15">
      <c r="J391" s="9"/>
      <c r="X391" s="9"/>
    </row>
    <row r="392" spans="10:24" ht="14" customHeight="1" x14ac:dyDescent="0.15">
      <c r="J392" s="9"/>
      <c r="X392" s="9"/>
    </row>
    <row r="393" spans="10:24" ht="14" customHeight="1" x14ac:dyDescent="0.15">
      <c r="J393" s="9"/>
      <c r="X393" s="9"/>
    </row>
    <row r="394" spans="10:24" ht="14" customHeight="1" x14ac:dyDescent="0.15">
      <c r="J394" s="9"/>
      <c r="X394" s="9"/>
    </row>
    <row r="395" spans="10:24" ht="14" customHeight="1" x14ac:dyDescent="0.15">
      <c r="J395" s="9"/>
      <c r="X395" s="9"/>
    </row>
    <row r="396" spans="10:24" ht="14" customHeight="1" x14ac:dyDescent="0.15">
      <c r="J396" s="9"/>
      <c r="X396" s="9"/>
    </row>
    <row r="397" spans="10:24" ht="14" customHeight="1" x14ac:dyDescent="0.15">
      <c r="J397" s="9"/>
      <c r="X397" s="9"/>
    </row>
    <row r="398" spans="10:24" ht="14" customHeight="1" x14ac:dyDescent="0.15">
      <c r="J398" s="9"/>
      <c r="X398" s="9"/>
    </row>
    <row r="399" spans="10:24" ht="14" customHeight="1" x14ac:dyDescent="0.15">
      <c r="J399" s="9"/>
      <c r="X399" s="9"/>
    </row>
    <row r="400" spans="10:24" ht="14" customHeight="1" x14ac:dyDescent="0.15">
      <c r="J400" s="9"/>
      <c r="X400" s="9"/>
    </row>
    <row r="401" spans="10:24" ht="14" customHeight="1" x14ac:dyDescent="0.15">
      <c r="J401" s="9"/>
      <c r="X401" s="9"/>
    </row>
    <row r="402" spans="10:24" ht="14" customHeight="1" x14ac:dyDescent="0.15">
      <c r="J402" s="9"/>
      <c r="X402" s="9"/>
    </row>
    <row r="403" spans="10:24" ht="14" customHeight="1" x14ac:dyDescent="0.15">
      <c r="J403" s="9"/>
      <c r="X403" s="9"/>
    </row>
    <row r="404" spans="10:24" ht="14" customHeight="1" x14ac:dyDescent="0.15">
      <c r="J404" s="9"/>
      <c r="X404" s="9"/>
    </row>
    <row r="405" spans="10:24" ht="14" customHeight="1" x14ac:dyDescent="0.15">
      <c r="J405" s="9"/>
      <c r="X405" s="9"/>
    </row>
    <row r="406" spans="10:24" ht="14" customHeight="1" x14ac:dyDescent="0.15">
      <c r="J406" s="9"/>
      <c r="X406" s="9"/>
    </row>
    <row r="407" spans="10:24" ht="14" customHeight="1" x14ac:dyDescent="0.15">
      <c r="J407" s="9"/>
      <c r="X407" s="9"/>
    </row>
    <row r="408" spans="10:24" ht="14" customHeight="1" x14ac:dyDescent="0.15">
      <c r="J408" s="9"/>
      <c r="X408" s="9"/>
    </row>
    <row r="409" spans="10:24" ht="14" customHeight="1" x14ac:dyDescent="0.15">
      <c r="J409" s="9"/>
      <c r="X409" s="9"/>
    </row>
    <row r="410" spans="10:24" ht="14" customHeight="1" x14ac:dyDescent="0.15">
      <c r="J410" s="9"/>
      <c r="X410" s="9"/>
    </row>
    <row r="411" spans="10:24" ht="14" customHeight="1" x14ac:dyDescent="0.15">
      <c r="J411" s="9"/>
      <c r="X411" s="9"/>
    </row>
    <row r="412" spans="10:24" ht="14" customHeight="1" x14ac:dyDescent="0.15">
      <c r="J412" s="9"/>
      <c r="X412" s="9"/>
    </row>
    <row r="413" spans="10:24" ht="14" customHeight="1" x14ac:dyDescent="0.15">
      <c r="J413" s="9"/>
      <c r="X413" s="9"/>
    </row>
    <row r="414" spans="10:24" ht="14" customHeight="1" x14ac:dyDescent="0.15">
      <c r="J414" s="9"/>
      <c r="X414" s="9"/>
    </row>
    <row r="415" spans="10:24" ht="14" customHeight="1" x14ac:dyDescent="0.15">
      <c r="J415" s="9"/>
      <c r="X415" s="9"/>
    </row>
    <row r="416" spans="10:24" ht="14" customHeight="1" x14ac:dyDescent="0.15">
      <c r="J416" s="9"/>
      <c r="X416" s="9"/>
    </row>
    <row r="417" spans="10:24" ht="14" customHeight="1" x14ac:dyDescent="0.15">
      <c r="J417" s="9"/>
      <c r="X417" s="9"/>
    </row>
    <row r="418" spans="10:24" ht="14" customHeight="1" x14ac:dyDescent="0.15">
      <c r="J418" s="9"/>
      <c r="X418" s="9"/>
    </row>
    <row r="419" spans="10:24" ht="14" customHeight="1" x14ac:dyDescent="0.15">
      <c r="J419" s="9"/>
      <c r="X419" s="9"/>
    </row>
    <row r="420" spans="10:24" ht="14" customHeight="1" x14ac:dyDescent="0.15">
      <c r="J420" s="9"/>
      <c r="X420" s="9"/>
    </row>
    <row r="421" spans="10:24" ht="14" customHeight="1" x14ac:dyDescent="0.15">
      <c r="J421" s="9"/>
      <c r="X421" s="9"/>
    </row>
    <row r="422" spans="10:24" ht="14" customHeight="1" x14ac:dyDescent="0.15">
      <c r="J422" s="9"/>
      <c r="X422" s="9"/>
    </row>
    <row r="423" spans="10:24" ht="14" customHeight="1" x14ac:dyDescent="0.15">
      <c r="J423" s="9"/>
      <c r="X423" s="9"/>
    </row>
    <row r="424" spans="10:24" ht="14" customHeight="1" x14ac:dyDescent="0.15">
      <c r="J424" s="9"/>
      <c r="X424" s="9"/>
    </row>
    <row r="425" spans="10:24" ht="14" customHeight="1" x14ac:dyDescent="0.15">
      <c r="J425" s="9"/>
      <c r="X425" s="9"/>
    </row>
    <row r="426" spans="10:24" ht="14" customHeight="1" x14ac:dyDescent="0.15">
      <c r="J426" s="9"/>
      <c r="X426" s="9"/>
    </row>
    <row r="427" spans="10:24" ht="14" customHeight="1" x14ac:dyDescent="0.15">
      <c r="J427" s="9"/>
      <c r="X427" s="9"/>
    </row>
    <row r="428" spans="10:24" ht="14" customHeight="1" x14ac:dyDescent="0.15">
      <c r="J428" s="9"/>
      <c r="X428" s="9"/>
    </row>
    <row r="429" spans="10:24" ht="14" customHeight="1" x14ac:dyDescent="0.15">
      <c r="J429" s="9"/>
      <c r="X429" s="9"/>
    </row>
    <row r="430" spans="10:24" ht="14" customHeight="1" x14ac:dyDescent="0.15">
      <c r="J430" s="9"/>
      <c r="X430" s="9"/>
    </row>
    <row r="431" spans="10:24" ht="14" customHeight="1" x14ac:dyDescent="0.15">
      <c r="J431" s="9"/>
      <c r="X431" s="9"/>
    </row>
    <row r="432" spans="10:24" ht="14" customHeight="1" x14ac:dyDescent="0.15">
      <c r="J432" s="9"/>
      <c r="X432" s="9"/>
    </row>
    <row r="433" spans="10:24" ht="14" customHeight="1" x14ac:dyDescent="0.15">
      <c r="J433" s="9"/>
      <c r="X433" s="9"/>
    </row>
    <row r="434" spans="10:24" ht="14" customHeight="1" x14ac:dyDescent="0.15">
      <c r="J434" s="9"/>
      <c r="X434" s="9"/>
    </row>
    <row r="435" spans="10:24" ht="14" customHeight="1" x14ac:dyDescent="0.15">
      <c r="J435" s="9"/>
      <c r="X435" s="9"/>
    </row>
    <row r="436" spans="10:24" ht="14" customHeight="1" x14ac:dyDescent="0.15">
      <c r="J436" s="9"/>
      <c r="X436" s="9"/>
    </row>
    <row r="437" spans="10:24" ht="14" customHeight="1" x14ac:dyDescent="0.15">
      <c r="J437" s="9"/>
      <c r="X437" s="9"/>
    </row>
    <row r="438" spans="10:24" ht="14" customHeight="1" x14ac:dyDescent="0.15">
      <c r="J438" s="9"/>
      <c r="X438" s="9"/>
    </row>
    <row r="439" spans="10:24" ht="14" customHeight="1" x14ac:dyDescent="0.15">
      <c r="J439" s="9"/>
      <c r="X439" s="9"/>
    </row>
    <row r="440" spans="10:24" ht="14" customHeight="1" x14ac:dyDescent="0.15">
      <c r="J440" s="9"/>
      <c r="X440" s="9"/>
    </row>
    <row r="441" spans="10:24" ht="14" customHeight="1" x14ac:dyDescent="0.15">
      <c r="J441" s="9"/>
      <c r="X441" s="9"/>
    </row>
    <row r="442" spans="10:24" ht="14" customHeight="1" x14ac:dyDescent="0.15">
      <c r="J442" s="9"/>
      <c r="X442" s="9"/>
    </row>
    <row r="443" spans="10:24" ht="14" customHeight="1" x14ac:dyDescent="0.15">
      <c r="J443" s="9"/>
      <c r="X443" s="9"/>
    </row>
    <row r="444" spans="10:24" ht="14" customHeight="1" x14ac:dyDescent="0.15">
      <c r="J444" s="9"/>
      <c r="X444" s="9"/>
    </row>
    <row r="445" spans="10:24" ht="14" customHeight="1" x14ac:dyDescent="0.15">
      <c r="J445" s="9"/>
      <c r="X445" s="9"/>
    </row>
    <row r="446" spans="10:24" ht="14" customHeight="1" x14ac:dyDescent="0.15">
      <c r="J446" s="9"/>
      <c r="X446" s="9"/>
    </row>
    <row r="447" spans="10:24" ht="14" customHeight="1" x14ac:dyDescent="0.15">
      <c r="J447" s="9"/>
      <c r="X447" s="9"/>
    </row>
    <row r="448" spans="10:24" ht="14" customHeight="1" x14ac:dyDescent="0.15">
      <c r="J448" s="9"/>
      <c r="X448" s="9"/>
    </row>
    <row r="449" spans="10:24" ht="14" customHeight="1" x14ac:dyDescent="0.15">
      <c r="J449" s="9"/>
      <c r="X449" s="9"/>
    </row>
    <row r="450" spans="10:24" ht="14" customHeight="1" x14ac:dyDescent="0.15">
      <c r="J450" s="9"/>
      <c r="X450" s="9"/>
    </row>
    <row r="451" spans="10:24" ht="14" customHeight="1" x14ac:dyDescent="0.15">
      <c r="J451" s="9"/>
      <c r="X451" s="9"/>
    </row>
    <row r="452" spans="10:24" ht="14" customHeight="1" x14ac:dyDescent="0.15">
      <c r="J452" s="9"/>
      <c r="X452" s="9"/>
    </row>
    <row r="453" spans="10:24" ht="14" customHeight="1" x14ac:dyDescent="0.15">
      <c r="J453" s="9"/>
      <c r="X453" s="9"/>
    </row>
    <row r="454" spans="10:24" ht="14" customHeight="1" x14ac:dyDescent="0.15">
      <c r="J454" s="9"/>
      <c r="X454" s="9"/>
    </row>
    <row r="455" spans="10:24" ht="14" customHeight="1" x14ac:dyDescent="0.15">
      <c r="J455" s="9"/>
      <c r="X455" s="9"/>
    </row>
    <row r="456" spans="10:24" ht="14" customHeight="1" x14ac:dyDescent="0.15">
      <c r="J456" s="9"/>
      <c r="X456" s="9"/>
    </row>
    <row r="457" spans="10:24" ht="14" customHeight="1" x14ac:dyDescent="0.15">
      <c r="J457" s="9"/>
      <c r="X457" s="9"/>
    </row>
    <row r="458" spans="10:24" ht="14" customHeight="1" x14ac:dyDescent="0.15">
      <c r="J458" s="9"/>
      <c r="X458" s="9"/>
    </row>
    <row r="459" spans="10:24" ht="14" customHeight="1" x14ac:dyDescent="0.15">
      <c r="J459" s="9"/>
      <c r="X459" s="9"/>
    </row>
    <row r="460" spans="10:24" ht="14" customHeight="1" x14ac:dyDescent="0.15">
      <c r="J460" s="9"/>
      <c r="X460" s="9"/>
    </row>
    <row r="461" spans="10:24" ht="14" customHeight="1" x14ac:dyDescent="0.15">
      <c r="J461" s="9"/>
      <c r="X461" s="9"/>
    </row>
    <row r="462" spans="10:24" ht="14" customHeight="1" x14ac:dyDescent="0.15">
      <c r="J462" s="9"/>
      <c r="X462" s="9"/>
    </row>
    <row r="463" spans="10:24" ht="14" customHeight="1" x14ac:dyDescent="0.15">
      <c r="J463" s="9"/>
      <c r="X463" s="9"/>
    </row>
    <row r="464" spans="10:24" ht="14" customHeight="1" x14ac:dyDescent="0.15">
      <c r="J464" s="9"/>
      <c r="X464" s="9"/>
    </row>
    <row r="465" spans="10:24" ht="14" customHeight="1" x14ac:dyDescent="0.15">
      <c r="J465" s="9"/>
      <c r="X465" s="9"/>
    </row>
    <row r="466" spans="10:24" ht="14" customHeight="1" x14ac:dyDescent="0.15">
      <c r="J466" s="9"/>
      <c r="X466" s="9"/>
    </row>
    <row r="467" spans="10:24" ht="14" customHeight="1" x14ac:dyDescent="0.15">
      <c r="J467" s="9"/>
      <c r="X467" s="9"/>
    </row>
    <row r="468" spans="10:24" ht="14" customHeight="1" x14ac:dyDescent="0.15">
      <c r="J468" s="9"/>
      <c r="X468" s="9"/>
    </row>
    <row r="469" spans="10:24" ht="14" customHeight="1" x14ac:dyDescent="0.15">
      <c r="J469" s="9"/>
      <c r="X469" s="9"/>
    </row>
    <row r="470" spans="10:24" ht="14" customHeight="1" x14ac:dyDescent="0.15">
      <c r="J470" s="9"/>
      <c r="X470" s="9"/>
    </row>
    <row r="471" spans="10:24" ht="14" customHeight="1" x14ac:dyDescent="0.15">
      <c r="J471" s="9"/>
      <c r="X471" s="9"/>
    </row>
    <row r="472" spans="10:24" ht="14" customHeight="1" x14ac:dyDescent="0.15">
      <c r="J472" s="9"/>
      <c r="X472" s="9"/>
    </row>
    <row r="473" spans="10:24" ht="14" customHeight="1" x14ac:dyDescent="0.15">
      <c r="J473" s="9"/>
      <c r="X473" s="9"/>
    </row>
    <row r="474" spans="10:24" ht="14" customHeight="1" x14ac:dyDescent="0.15">
      <c r="J474" s="9"/>
      <c r="X474" s="9"/>
    </row>
    <row r="475" spans="10:24" ht="14" customHeight="1" x14ac:dyDescent="0.15">
      <c r="J475" s="9"/>
      <c r="X475" s="9"/>
    </row>
    <row r="476" spans="10:24" ht="14" customHeight="1" x14ac:dyDescent="0.15">
      <c r="J476" s="9"/>
      <c r="X476" s="9"/>
    </row>
    <row r="477" spans="10:24" ht="14" customHeight="1" x14ac:dyDescent="0.15">
      <c r="J477" s="9"/>
      <c r="X477" s="9"/>
    </row>
    <row r="478" spans="10:24" ht="14" customHeight="1" x14ac:dyDescent="0.15">
      <c r="J478" s="9"/>
      <c r="X478" s="9"/>
    </row>
    <row r="479" spans="10:24" ht="14" customHeight="1" x14ac:dyDescent="0.15">
      <c r="J479" s="9"/>
      <c r="X479" s="9"/>
    </row>
    <row r="480" spans="10:24" ht="14" customHeight="1" x14ac:dyDescent="0.15">
      <c r="J480" s="9"/>
      <c r="X480" s="9"/>
    </row>
    <row r="481" spans="10:24" ht="14" customHeight="1" x14ac:dyDescent="0.15">
      <c r="J481" s="9"/>
      <c r="X481" s="9"/>
    </row>
    <row r="482" spans="10:24" ht="14" customHeight="1" x14ac:dyDescent="0.15">
      <c r="J482" s="9"/>
      <c r="X482" s="9"/>
    </row>
    <row r="483" spans="10:24" ht="14" customHeight="1" x14ac:dyDescent="0.15">
      <c r="J483" s="9"/>
      <c r="X483" s="9"/>
    </row>
    <row r="484" spans="10:24" ht="14" customHeight="1" x14ac:dyDescent="0.15">
      <c r="J484" s="9"/>
      <c r="X484" s="9"/>
    </row>
    <row r="485" spans="10:24" ht="14" customHeight="1" x14ac:dyDescent="0.15">
      <c r="J485" s="9"/>
      <c r="X485" s="9"/>
    </row>
    <row r="486" spans="10:24" ht="14" customHeight="1" x14ac:dyDescent="0.15">
      <c r="J486" s="9"/>
      <c r="X486" s="9"/>
    </row>
    <row r="487" spans="10:24" ht="14" customHeight="1" x14ac:dyDescent="0.15">
      <c r="J487" s="9"/>
      <c r="X487" s="9"/>
    </row>
    <row r="488" spans="10:24" ht="14" customHeight="1" x14ac:dyDescent="0.15">
      <c r="J488" s="9"/>
      <c r="X488" s="9"/>
    </row>
    <row r="489" spans="10:24" ht="14" customHeight="1" x14ac:dyDescent="0.15">
      <c r="J489" s="9"/>
      <c r="X489" s="9"/>
    </row>
    <row r="490" spans="10:24" ht="14" customHeight="1" x14ac:dyDescent="0.15">
      <c r="J490" s="9"/>
      <c r="X490" s="9"/>
    </row>
    <row r="491" spans="10:24" ht="14" customHeight="1" x14ac:dyDescent="0.15">
      <c r="J491" s="9"/>
      <c r="X491" s="9"/>
    </row>
    <row r="492" spans="10:24" ht="14" customHeight="1" x14ac:dyDescent="0.15">
      <c r="J492" s="9"/>
      <c r="X492" s="9"/>
    </row>
    <row r="493" spans="10:24" ht="14" customHeight="1" x14ac:dyDescent="0.15">
      <c r="J493" s="9"/>
      <c r="X493" s="9"/>
    </row>
    <row r="494" spans="10:24" ht="14" customHeight="1" x14ac:dyDescent="0.15">
      <c r="J494" s="9"/>
      <c r="X494" s="9"/>
    </row>
    <row r="495" spans="10:24" ht="14" customHeight="1" x14ac:dyDescent="0.15">
      <c r="J495" s="9"/>
      <c r="X495" s="9"/>
    </row>
    <row r="496" spans="10:24" ht="14" customHeight="1" x14ac:dyDescent="0.15">
      <c r="J496" s="9"/>
      <c r="X496" s="9"/>
    </row>
    <row r="497" spans="10:24" ht="14" customHeight="1" x14ac:dyDescent="0.15">
      <c r="J497" s="9"/>
      <c r="X497" s="9"/>
    </row>
    <row r="498" spans="10:24" ht="14" customHeight="1" x14ac:dyDescent="0.15">
      <c r="J498" s="9"/>
      <c r="X498" s="9"/>
    </row>
    <row r="499" spans="10:24" ht="14" customHeight="1" x14ac:dyDescent="0.15">
      <c r="J499" s="9"/>
      <c r="X499" s="9"/>
    </row>
    <row r="500" spans="10:24" ht="14" customHeight="1" x14ac:dyDescent="0.15">
      <c r="J500" s="9"/>
      <c r="X500" s="9"/>
    </row>
    <row r="501" spans="10:24" ht="14" customHeight="1" x14ac:dyDescent="0.15">
      <c r="J501" s="9"/>
      <c r="X501" s="9"/>
    </row>
    <row r="502" spans="10:24" ht="14" customHeight="1" x14ac:dyDescent="0.15">
      <c r="J502" s="9"/>
      <c r="X502" s="9"/>
    </row>
    <row r="503" spans="10:24" ht="14" customHeight="1" x14ac:dyDescent="0.15">
      <c r="J503" s="9"/>
      <c r="X503" s="9"/>
    </row>
    <row r="504" spans="10:24" ht="14" customHeight="1" x14ac:dyDescent="0.15">
      <c r="J504" s="9"/>
      <c r="X504" s="9"/>
    </row>
    <row r="505" spans="10:24" ht="14" customHeight="1" x14ac:dyDescent="0.15">
      <c r="J505" s="9"/>
      <c r="X505" s="9"/>
    </row>
    <row r="506" spans="10:24" ht="14" customHeight="1" x14ac:dyDescent="0.15">
      <c r="J506" s="9"/>
      <c r="X506" s="9"/>
    </row>
    <row r="507" spans="10:24" ht="14" customHeight="1" x14ac:dyDescent="0.15">
      <c r="J507" s="9"/>
      <c r="X507" s="9"/>
    </row>
    <row r="508" spans="10:24" ht="14" customHeight="1" x14ac:dyDescent="0.15">
      <c r="J508" s="9"/>
      <c r="X508" s="9"/>
    </row>
    <row r="509" spans="10:24" ht="14" customHeight="1" x14ac:dyDescent="0.15">
      <c r="J509" s="9"/>
      <c r="X509" s="9"/>
    </row>
    <row r="510" spans="10:24" ht="14" customHeight="1" x14ac:dyDescent="0.15">
      <c r="J510" s="9"/>
      <c r="X510" s="9"/>
    </row>
    <row r="511" spans="10:24" ht="14" customHeight="1" x14ac:dyDescent="0.15">
      <c r="J511" s="9"/>
      <c r="X511" s="9"/>
    </row>
    <row r="512" spans="10:24" ht="14" customHeight="1" x14ac:dyDescent="0.15">
      <c r="J512" s="9"/>
      <c r="X512" s="9"/>
    </row>
    <row r="513" spans="10:24" ht="14" customHeight="1" x14ac:dyDescent="0.15">
      <c r="J513" s="9"/>
      <c r="X513" s="9"/>
    </row>
    <row r="514" spans="10:24" ht="14" customHeight="1" x14ac:dyDescent="0.15">
      <c r="J514" s="9"/>
      <c r="X514" s="9"/>
    </row>
    <row r="515" spans="10:24" ht="14" customHeight="1" x14ac:dyDescent="0.15">
      <c r="J515" s="9"/>
      <c r="X515" s="9"/>
    </row>
    <row r="516" spans="10:24" ht="14" customHeight="1" x14ac:dyDescent="0.15">
      <c r="J516" s="9"/>
      <c r="X516" s="9"/>
    </row>
    <row r="517" spans="10:24" ht="14" customHeight="1" x14ac:dyDescent="0.15">
      <c r="J517" s="9"/>
      <c r="X517" s="9"/>
    </row>
    <row r="518" spans="10:24" ht="14" customHeight="1" x14ac:dyDescent="0.15">
      <c r="J518" s="9"/>
      <c r="X518" s="9"/>
    </row>
    <row r="519" spans="10:24" ht="14" customHeight="1" x14ac:dyDescent="0.15">
      <c r="J519" s="9"/>
      <c r="X519" s="9"/>
    </row>
    <row r="520" spans="10:24" ht="14" customHeight="1" x14ac:dyDescent="0.15">
      <c r="J520" s="9"/>
      <c r="X520" s="9"/>
    </row>
    <row r="521" spans="10:24" ht="14" customHeight="1" x14ac:dyDescent="0.15">
      <c r="J521" s="9"/>
      <c r="X521" s="9"/>
    </row>
    <row r="522" spans="10:24" ht="14" customHeight="1" x14ac:dyDescent="0.15">
      <c r="J522" s="9"/>
      <c r="X522" s="9"/>
    </row>
    <row r="523" spans="10:24" ht="14" customHeight="1" x14ac:dyDescent="0.15">
      <c r="J523" s="9"/>
      <c r="X523" s="9"/>
    </row>
    <row r="524" spans="10:24" ht="14" customHeight="1" x14ac:dyDescent="0.15">
      <c r="J524" s="9"/>
      <c r="X524" s="9"/>
    </row>
    <row r="525" spans="10:24" ht="14" customHeight="1" x14ac:dyDescent="0.15">
      <c r="J525" s="9"/>
      <c r="X525" s="9"/>
    </row>
    <row r="526" spans="10:24" ht="14" customHeight="1" x14ac:dyDescent="0.15">
      <c r="J526" s="9"/>
      <c r="X526" s="9"/>
    </row>
    <row r="527" spans="10:24" ht="14" customHeight="1" x14ac:dyDescent="0.15">
      <c r="J527" s="9"/>
      <c r="X527" s="9"/>
    </row>
    <row r="528" spans="10:24" ht="14" customHeight="1" x14ac:dyDescent="0.15">
      <c r="J528" s="9"/>
      <c r="X528" s="9"/>
    </row>
    <row r="529" spans="10:24" ht="14" customHeight="1" x14ac:dyDescent="0.15">
      <c r="J529" s="9"/>
      <c r="X529" s="9"/>
    </row>
    <row r="530" spans="10:24" ht="14" customHeight="1" x14ac:dyDescent="0.15">
      <c r="J530" s="9"/>
      <c r="X530" s="9"/>
    </row>
    <row r="531" spans="10:24" ht="14" customHeight="1" x14ac:dyDescent="0.15">
      <c r="J531" s="9"/>
      <c r="X531" s="9"/>
    </row>
    <row r="532" spans="10:24" ht="14" customHeight="1" x14ac:dyDescent="0.15">
      <c r="J532" s="9"/>
      <c r="X532" s="9"/>
    </row>
    <row r="533" spans="10:24" ht="14" customHeight="1" x14ac:dyDescent="0.15">
      <c r="J533" s="9"/>
      <c r="X533" s="9"/>
    </row>
    <row r="534" spans="10:24" ht="14" customHeight="1" x14ac:dyDescent="0.15">
      <c r="J534" s="9"/>
      <c r="X534" s="9"/>
    </row>
    <row r="535" spans="10:24" ht="14" customHeight="1" x14ac:dyDescent="0.15">
      <c r="J535" s="9"/>
      <c r="X535" s="9"/>
    </row>
    <row r="536" spans="10:24" ht="14" customHeight="1" x14ac:dyDescent="0.15">
      <c r="J536" s="9"/>
      <c r="X536" s="9"/>
    </row>
    <row r="537" spans="10:24" ht="14" customHeight="1" x14ac:dyDescent="0.15">
      <c r="J537" s="9"/>
      <c r="X537" s="9"/>
    </row>
    <row r="538" spans="10:24" ht="14" customHeight="1" x14ac:dyDescent="0.15">
      <c r="J538" s="9"/>
      <c r="X538" s="9"/>
    </row>
    <row r="539" spans="10:24" ht="14" customHeight="1" x14ac:dyDescent="0.15">
      <c r="J539" s="9"/>
      <c r="X539" s="9"/>
    </row>
    <row r="540" spans="10:24" ht="14" customHeight="1" x14ac:dyDescent="0.15">
      <c r="J540" s="9"/>
      <c r="X540" s="9"/>
    </row>
    <row r="541" spans="10:24" ht="14" customHeight="1" x14ac:dyDescent="0.15">
      <c r="J541" s="9"/>
      <c r="X541" s="9"/>
    </row>
    <row r="542" spans="10:24" ht="14" customHeight="1" x14ac:dyDescent="0.15">
      <c r="J542" s="9"/>
      <c r="X542" s="9"/>
    </row>
    <row r="543" spans="10:24" ht="14" customHeight="1" x14ac:dyDescent="0.15">
      <c r="J543" s="9"/>
      <c r="X543" s="9"/>
    </row>
    <row r="544" spans="10:24" ht="14" customHeight="1" x14ac:dyDescent="0.15">
      <c r="J544" s="9"/>
      <c r="X544" s="9"/>
    </row>
    <row r="545" spans="10:24" ht="14" customHeight="1" x14ac:dyDescent="0.15">
      <c r="J545" s="9"/>
      <c r="X545" s="9"/>
    </row>
    <row r="546" spans="10:24" ht="14" customHeight="1" x14ac:dyDescent="0.15">
      <c r="J546" s="9"/>
      <c r="X546" s="9"/>
    </row>
    <row r="547" spans="10:24" ht="14" customHeight="1" x14ac:dyDescent="0.15">
      <c r="J547" s="9"/>
      <c r="X547" s="9"/>
    </row>
    <row r="548" spans="10:24" ht="14" customHeight="1" x14ac:dyDescent="0.15">
      <c r="J548" s="9"/>
      <c r="X548" s="9"/>
    </row>
    <row r="549" spans="10:24" ht="14" customHeight="1" x14ac:dyDescent="0.15">
      <c r="J549" s="9"/>
      <c r="X549" s="9"/>
    </row>
    <row r="550" spans="10:24" ht="14" customHeight="1" x14ac:dyDescent="0.15">
      <c r="J550" s="9"/>
      <c r="X550" s="9"/>
    </row>
    <row r="551" spans="10:24" ht="14" customHeight="1" x14ac:dyDescent="0.15">
      <c r="J551" s="9"/>
      <c r="X551" s="9"/>
    </row>
    <row r="552" spans="10:24" ht="14" customHeight="1" x14ac:dyDescent="0.15">
      <c r="J552" s="9"/>
      <c r="X552" s="9"/>
    </row>
    <row r="553" spans="10:24" ht="14" customHeight="1" x14ac:dyDescent="0.15">
      <c r="J553" s="9"/>
      <c r="X553" s="9"/>
    </row>
    <row r="554" spans="10:24" ht="14" customHeight="1" x14ac:dyDescent="0.15">
      <c r="J554" s="9"/>
      <c r="X554" s="9"/>
    </row>
    <row r="555" spans="10:24" ht="14" customHeight="1" x14ac:dyDescent="0.15">
      <c r="J555" s="9"/>
      <c r="X555" s="9"/>
    </row>
    <row r="556" spans="10:24" ht="14" customHeight="1" x14ac:dyDescent="0.15">
      <c r="J556" s="9"/>
      <c r="X556" s="9"/>
    </row>
    <row r="557" spans="10:24" ht="14" customHeight="1" x14ac:dyDescent="0.15">
      <c r="J557" s="9"/>
      <c r="X557" s="9"/>
    </row>
    <row r="558" spans="10:24" ht="14" customHeight="1" x14ac:dyDescent="0.15">
      <c r="J558" s="9"/>
      <c r="X558" s="9"/>
    </row>
    <row r="559" spans="10:24" ht="14" customHeight="1" x14ac:dyDescent="0.15">
      <c r="J559" s="9"/>
      <c r="X559" s="9"/>
    </row>
    <row r="560" spans="10:24" ht="14" customHeight="1" x14ac:dyDescent="0.15">
      <c r="J560" s="9"/>
      <c r="X560" s="9"/>
    </row>
    <row r="561" spans="10:24" ht="14" customHeight="1" x14ac:dyDescent="0.15">
      <c r="J561" s="9"/>
      <c r="X561" s="9"/>
    </row>
    <row r="562" spans="10:24" ht="14" customHeight="1" x14ac:dyDescent="0.15">
      <c r="J562" s="9"/>
      <c r="X562" s="9"/>
    </row>
    <row r="563" spans="10:24" ht="14" customHeight="1" x14ac:dyDescent="0.15">
      <c r="J563" s="9"/>
      <c r="X563" s="9"/>
    </row>
    <row r="564" spans="10:24" ht="14" customHeight="1" x14ac:dyDescent="0.15">
      <c r="J564" s="9"/>
      <c r="X564" s="9"/>
    </row>
    <row r="565" spans="10:24" ht="14" customHeight="1" x14ac:dyDescent="0.15">
      <c r="J565" s="9"/>
      <c r="X565" s="9"/>
    </row>
    <row r="566" spans="10:24" ht="14" customHeight="1" x14ac:dyDescent="0.15">
      <c r="J566" s="9"/>
      <c r="X566" s="9"/>
    </row>
    <row r="567" spans="10:24" ht="14" customHeight="1" x14ac:dyDescent="0.15">
      <c r="J567" s="9"/>
      <c r="X567" s="9"/>
    </row>
    <row r="568" spans="10:24" ht="14" customHeight="1" x14ac:dyDescent="0.15">
      <c r="J568" s="9"/>
      <c r="X568" s="9"/>
    </row>
    <row r="569" spans="10:24" ht="14" customHeight="1" x14ac:dyDescent="0.15">
      <c r="J569" s="9"/>
      <c r="X569" s="9"/>
    </row>
    <row r="570" spans="10:24" ht="14" customHeight="1" x14ac:dyDescent="0.15">
      <c r="J570" s="9"/>
      <c r="X570" s="9"/>
    </row>
    <row r="571" spans="10:24" ht="14" customHeight="1" x14ac:dyDescent="0.15">
      <c r="J571" s="9"/>
      <c r="X571" s="9"/>
    </row>
    <row r="572" spans="10:24" ht="14" customHeight="1" x14ac:dyDescent="0.15">
      <c r="J572" s="9"/>
      <c r="X572" s="9"/>
    </row>
    <row r="573" spans="10:24" ht="14" customHeight="1" x14ac:dyDescent="0.15">
      <c r="J573" s="9"/>
      <c r="X573" s="9"/>
    </row>
    <row r="574" spans="10:24" ht="14" customHeight="1" x14ac:dyDescent="0.15">
      <c r="J574" s="9"/>
      <c r="X574" s="9"/>
    </row>
    <row r="575" spans="10:24" ht="14" customHeight="1" x14ac:dyDescent="0.15">
      <c r="J575" s="9"/>
      <c r="X575" s="9"/>
    </row>
    <row r="576" spans="10:24" ht="14" customHeight="1" x14ac:dyDescent="0.15">
      <c r="J576" s="9"/>
      <c r="X576" s="9"/>
    </row>
    <row r="577" spans="10:24" ht="14" customHeight="1" x14ac:dyDescent="0.15">
      <c r="J577" s="9"/>
      <c r="X577" s="9"/>
    </row>
    <row r="578" spans="10:24" ht="14" customHeight="1" x14ac:dyDescent="0.15">
      <c r="J578" s="9"/>
      <c r="X578" s="9"/>
    </row>
    <row r="579" spans="10:24" ht="14" customHeight="1" x14ac:dyDescent="0.15">
      <c r="J579" s="9"/>
      <c r="X579" s="9"/>
    </row>
    <row r="580" spans="10:24" ht="14" customHeight="1" x14ac:dyDescent="0.15">
      <c r="J580" s="9"/>
      <c r="X580" s="9"/>
    </row>
    <row r="581" spans="10:24" ht="14" customHeight="1" x14ac:dyDescent="0.15">
      <c r="J581" s="9"/>
      <c r="X581" s="9"/>
    </row>
    <row r="582" spans="10:24" ht="14" customHeight="1" x14ac:dyDescent="0.15">
      <c r="J582" s="9"/>
      <c r="X582" s="9"/>
    </row>
    <row r="583" spans="10:24" ht="14" customHeight="1" x14ac:dyDescent="0.15">
      <c r="J583" s="9"/>
      <c r="X583" s="9"/>
    </row>
    <row r="584" spans="10:24" ht="14" customHeight="1" x14ac:dyDescent="0.15">
      <c r="J584" s="9"/>
      <c r="X584" s="9"/>
    </row>
    <row r="585" spans="10:24" ht="14" customHeight="1" x14ac:dyDescent="0.15">
      <c r="J585" s="9"/>
      <c r="X585" s="9"/>
    </row>
    <row r="586" spans="10:24" ht="14" customHeight="1" x14ac:dyDescent="0.15">
      <c r="J586" s="9"/>
      <c r="X586" s="9"/>
    </row>
    <row r="587" spans="10:24" ht="14" customHeight="1" x14ac:dyDescent="0.15">
      <c r="J587" s="9"/>
      <c r="X587" s="9"/>
    </row>
    <row r="588" spans="10:24" ht="14" customHeight="1" x14ac:dyDescent="0.15">
      <c r="J588" s="9"/>
      <c r="X588" s="9"/>
    </row>
    <row r="589" spans="10:24" ht="14" customHeight="1" x14ac:dyDescent="0.15">
      <c r="J589" s="9"/>
      <c r="X589" s="9"/>
    </row>
    <row r="590" spans="10:24" ht="14" customHeight="1" x14ac:dyDescent="0.15">
      <c r="J590" s="9"/>
      <c r="X590" s="9"/>
    </row>
    <row r="591" spans="10:24" ht="14" customHeight="1" x14ac:dyDescent="0.15">
      <c r="J591" s="9"/>
      <c r="X591" s="9"/>
    </row>
    <row r="592" spans="10:24" ht="14" customHeight="1" x14ac:dyDescent="0.15">
      <c r="J592" s="9"/>
      <c r="X592" s="9"/>
    </row>
    <row r="593" spans="10:24" ht="14" customHeight="1" x14ac:dyDescent="0.15">
      <c r="J593" s="9"/>
      <c r="X593" s="9"/>
    </row>
    <row r="594" spans="10:24" ht="14" customHeight="1" x14ac:dyDescent="0.15">
      <c r="J594" s="9"/>
      <c r="X594" s="9"/>
    </row>
    <row r="595" spans="10:24" ht="14" customHeight="1" x14ac:dyDescent="0.15">
      <c r="J595" s="9"/>
      <c r="X595" s="9"/>
    </row>
    <row r="596" spans="10:24" ht="14" customHeight="1" x14ac:dyDescent="0.15">
      <c r="J596" s="9"/>
      <c r="X596" s="9"/>
    </row>
    <row r="597" spans="10:24" ht="14" customHeight="1" x14ac:dyDescent="0.15">
      <c r="J597" s="9"/>
      <c r="X597" s="9"/>
    </row>
    <row r="598" spans="10:24" ht="14" customHeight="1" x14ac:dyDescent="0.15">
      <c r="J598" s="9"/>
      <c r="X598" s="9"/>
    </row>
    <row r="599" spans="10:24" ht="14" customHeight="1" x14ac:dyDescent="0.15">
      <c r="J599" s="9"/>
      <c r="X599" s="9"/>
    </row>
    <row r="600" spans="10:24" ht="14" customHeight="1" x14ac:dyDescent="0.15">
      <c r="J600" s="9"/>
      <c r="X600" s="9"/>
    </row>
    <row r="601" spans="10:24" ht="14" customHeight="1" x14ac:dyDescent="0.15">
      <c r="J601" s="9"/>
      <c r="X601" s="9"/>
    </row>
    <row r="602" spans="10:24" ht="14" customHeight="1" x14ac:dyDescent="0.15">
      <c r="J602" s="9"/>
      <c r="X602" s="9"/>
    </row>
    <row r="603" spans="10:24" ht="14" customHeight="1" x14ac:dyDescent="0.15">
      <c r="J603" s="9"/>
      <c r="X603" s="9"/>
    </row>
    <row r="604" spans="10:24" ht="14" customHeight="1" x14ac:dyDescent="0.15">
      <c r="J604" s="9"/>
      <c r="X604" s="9"/>
    </row>
    <row r="605" spans="10:24" ht="14" customHeight="1" x14ac:dyDescent="0.15">
      <c r="J605" s="9"/>
      <c r="X605" s="9"/>
    </row>
    <row r="606" spans="10:24" ht="14" customHeight="1" x14ac:dyDescent="0.15">
      <c r="J606" s="9"/>
      <c r="X606" s="9"/>
    </row>
    <row r="607" spans="10:24" ht="14" customHeight="1" x14ac:dyDescent="0.15">
      <c r="J607" s="9"/>
      <c r="X607" s="9"/>
    </row>
    <row r="608" spans="10:24" ht="14" customHeight="1" x14ac:dyDescent="0.15">
      <c r="J608" s="9"/>
      <c r="X608" s="9"/>
    </row>
    <row r="609" spans="10:24" ht="14" customHeight="1" x14ac:dyDescent="0.15">
      <c r="J609" s="9"/>
      <c r="X609" s="9"/>
    </row>
    <row r="610" spans="10:24" ht="14" customHeight="1" x14ac:dyDescent="0.15">
      <c r="J610" s="9"/>
      <c r="X610" s="9"/>
    </row>
    <row r="611" spans="10:24" ht="14" customHeight="1" x14ac:dyDescent="0.15">
      <c r="J611" s="9"/>
      <c r="X611" s="9"/>
    </row>
    <row r="612" spans="10:24" ht="14" customHeight="1" x14ac:dyDescent="0.15">
      <c r="J612" s="9"/>
      <c r="X612" s="9"/>
    </row>
    <row r="613" spans="10:24" ht="14" customHeight="1" x14ac:dyDescent="0.15">
      <c r="J613" s="9"/>
      <c r="X613" s="9"/>
    </row>
    <row r="614" spans="10:24" ht="14" customHeight="1" x14ac:dyDescent="0.15">
      <c r="J614" s="9"/>
      <c r="X614" s="9"/>
    </row>
    <row r="615" spans="10:24" ht="14" customHeight="1" x14ac:dyDescent="0.15">
      <c r="J615" s="9"/>
      <c r="X615" s="9"/>
    </row>
    <row r="616" spans="10:24" ht="14" customHeight="1" x14ac:dyDescent="0.15">
      <c r="J616" s="9"/>
      <c r="X616" s="9"/>
    </row>
    <row r="617" spans="10:24" ht="14" customHeight="1" x14ac:dyDescent="0.15">
      <c r="J617" s="9"/>
      <c r="X617" s="9"/>
    </row>
    <row r="618" spans="10:24" ht="14" customHeight="1" x14ac:dyDescent="0.15">
      <c r="J618" s="9"/>
      <c r="X618" s="9"/>
    </row>
    <row r="619" spans="10:24" ht="14" customHeight="1" x14ac:dyDescent="0.15">
      <c r="J619" s="9"/>
      <c r="X619" s="9"/>
    </row>
    <row r="620" spans="10:24" ht="14" customHeight="1" x14ac:dyDescent="0.15">
      <c r="J620" s="9"/>
      <c r="X620" s="9"/>
    </row>
    <row r="621" spans="10:24" ht="14" customHeight="1" x14ac:dyDescent="0.15">
      <c r="J621" s="9"/>
      <c r="X621" s="9"/>
    </row>
    <row r="622" spans="10:24" ht="14" customHeight="1" x14ac:dyDescent="0.15">
      <c r="J622" s="9"/>
      <c r="X622" s="9"/>
    </row>
    <row r="623" spans="10:24" ht="14" customHeight="1" x14ac:dyDescent="0.15">
      <c r="J623" s="9"/>
      <c r="X623" s="9"/>
    </row>
    <row r="624" spans="10:24" ht="14" customHeight="1" x14ac:dyDescent="0.15">
      <c r="J624" s="9"/>
      <c r="X624" s="9"/>
    </row>
    <row r="625" spans="10:24" ht="14" customHeight="1" x14ac:dyDescent="0.15">
      <c r="J625" s="9"/>
      <c r="X625" s="9"/>
    </row>
    <row r="626" spans="10:24" ht="14" customHeight="1" x14ac:dyDescent="0.15">
      <c r="J626" s="9"/>
      <c r="X626" s="9"/>
    </row>
    <row r="627" spans="10:24" ht="14" customHeight="1" x14ac:dyDescent="0.15">
      <c r="J627" s="9"/>
      <c r="X627" s="9"/>
    </row>
    <row r="628" spans="10:24" ht="14" customHeight="1" x14ac:dyDescent="0.15">
      <c r="J628" s="9"/>
      <c r="X628" s="9"/>
    </row>
    <row r="629" spans="10:24" ht="14" customHeight="1" x14ac:dyDescent="0.15">
      <c r="J629" s="9"/>
      <c r="X629" s="9"/>
    </row>
    <row r="630" spans="10:24" ht="14" customHeight="1" x14ac:dyDescent="0.15">
      <c r="J630" s="9"/>
      <c r="X630" s="9"/>
    </row>
    <row r="631" spans="10:24" ht="14" customHeight="1" x14ac:dyDescent="0.15">
      <c r="J631" s="9"/>
      <c r="X631" s="9"/>
    </row>
    <row r="632" spans="10:24" ht="14" customHeight="1" x14ac:dyDescent="0.15">
      <c r="J632" s="9"/>
      <c r="X632" s="9"/>
    </row>
    <row r="633" spans="10:24" ht="14" customHeight="1" x14ac:dyDescent="0.15">
      <c r="J633" s="9"/>
      <c r="X633" s="9"/>
    </row>
    <row r="634" spans="10:24" ht="14" customHeight="1" x14ac:dyDescent="0.15">
      <c r="J634" s="9"/>
      <c r="X634" s="9"/>
    </row>
    <row r="635" spans="10:24" ht="14" customHeight="1" x14ac:dyDescent="0.15">
      <c r="J635" s="9"/>
      <c r="X635" s="9"/>
    </row>
    <row r="636" spans="10:24" ht="14" customHeight="1" x14ac:dyDescent="0.15">
      <c r="J636" s="9"/>
      <c r="X636" s="9"/>
    </row>
    <row r="637" spans="10:24" ht="14" customHeight="1" x14ac:dyDescent="0.15">
      <c r="J637" s="9"/>
      <c r="X637" s="9"/>
    </row>
    <row r="638" spans="10:24" ht="14" customHeight="1" x14ac:dyDescent="0.15">
      <c r="J638" s="9"/>
      <c r="X638" s="9"/>
    </row>
    <row r="639" spans="10:24" ht="14" customHeight="1" x14ac:dyDescent="0.15">
      <c r="J639" s="9"/>
      <c r="X639" s="9"/>
    </row>
    <row r="640" spans="10:24" ht="14" customHeight="1" x14ac:dyDescent="0.15">
      <c r="J640" s="9"/>
      <c r="X640" s="9"/>
    </row>
    <row r="641" spans="10:24" ht="14" customHeight="1" x14ac:dyDescent="0.15">
      <c r="J641" s="9"/>
      <c r="X641" s="9"/>
    </row>
    <row r="642" spans="10:24" ht="14" customHeight="1" x14ac:dyDescent="0.15">
      <c r="J642" s="9"/>
      <c r="X642" s="9"/>
    </row>
    <row r="643" spans="10:24" ht="14" customHeight="1" x14ac:dyDescent="0.15">
      <c r="J643" s="9"/>
      <c r="X643" s="9"/>
    </row>
    <row r="644" spans="10:24" ht="14" customHeight="1" x14ac:dyDescent="0.15">
      <c r="J644" s="9"/>
      <c r="X644" s="9"/>
    </row>
    <row r="645" spans="10:24" ht="14" customHeight="1" x14ac:dyDescent="0.15">
      <c r="J645" s="9"/>
      <c r="X645" s="9"/>
    </row>
    <row r="646" spans="10:24" ht="14" customHeight="1" x14ac:dyDescent="0.15">
      <c r="J646" s="9"/>
      <c r="X646" s="9"/>
    </row>
    <row r="647" spans="10:24" ht="14" customHeight="1" x14ac:dyDescent="0.15">
      <c r="J647" s="9"/>
      <c r="X647" s="9"/>
    </row>
    <row r="648" spans="10:24" ht="14" customHeight="1" x14ac:dyDescent="0.15">
      <c r="J648" s="9"/>
      <c r="X648" s="9"/>
    </row>
    <row r="649" spans="10:24" ht="14" customHeight="1" x14ac:dyDescent="0.15">
      <c r="J649" s="9"/>
      <c r="X649" s="9"/>
    </row>
    <row r="650" spans="10:24" ht="14" customHeight="1" x14ac:dyDescent="0.15">
      <c r="J650" s="9"/>
      <c r="X650" s="9"/>
    </row>
    <row r="651" spans="10:24" ht="14" customHeight="1" x14ac:dyDescent="0.15">
      <c r="J651" s="9"/>
      <c r="X651" s="9"/>
    </row>
    <row r="652" spans="10:24" ht="14" customHeight="1" x14ac:dyDescent="0.15">
      <c r="J652" s="9"/>
      <c r="X652" s="9"/>
    </row>
    <row r="653" spans="10:24" ht="14" customHeight="1" x14ac:dyDescent="0.15">
      <c r="J653" s="9"/>
      <c r="X653" s="9"/>
    </row>
    <row r="654" spans="10:24" ht="14" customHeight="1" x14ac:dyDescent="0.15">
      <c r="J654" s="9"/>
      <c r="X654" s="9"/>
    </row>
    <row r="655" spans="10:24" ht="14" customHeight="1" x14ac:dyDescent="0.15">
      <c r="J655" s="9"/>
      <c r="X655" s="9"/>
    </row>
    <row r="656" spans="10:24" ht="14" customHeight="1" x14ac:dyDescent="0.15">
      <c r="J656" s="9"/>
      <c r="X656" s="9"/>
    </row>
    <row r="657" spans="10:24" ht="14" customHeight="1" x14ac:dyDescent="0.15">
      <c r="J657" s="9"/>
      <c r="X657" s="9"/>
    </row>
    <row r="658" spans="10:24" ht="14" customHeight="1" x14ac:dyDescent="0.15">
      <c r="J658" s="9"/>
      <c r="X658" s="9"/>
    </row>
    <row r="659" spans="10:24" ht="14" customHeight="1" x14ac:dyDescent="0.15">
      <c r="J659" s="9"/>
      <c r="X659" s="9"/>
    </row>
    <row r="660" spans="10:24" ht="14" customHeight="1" x14ac:dyDescent="0.15">
      <c r="J660" s="9"/>
      <c r="X660" s="9"/>
    </row>
    <row r="661" spans="10:24" ht="14" customHeight="1" x14ac:dyDescent="0.15">
      <c r="J661" s="9"/>
      <c r="X661" s="9"/>
    </row>
    <row r="662" spans="10:24" ht="14" customHeight="1" x14ac:dyDescent="0.15">
      <c r="J662" s="9"/>
      <c r="X662" s="9"/>
    </row>
    <row r="663" spans="10:24" ht="14" customHeight="1" x14ac:dyDescent="0.15">
      <c r="J663" s="9"/>
      <c r="X663" s="9"/>
    </row>
    <row r="664" spans="10:24" ht="14" customHeight="1" x14ac:dyDescent="0.15">
      <c r="J664" s="9"/>
      <c r="X664" s="9"/>
    </row>
    <row r="665" spans="10:24" ht="14" customHeight="1" x14ac:dyDescent="0.15">
      <c r="J665" s="9"/>
      <c r="X665" s="9"/>
    </row>
    <row r="666" spans="10:24" ht="14" customHeight="1" x14ac:dyDescent="0.15">
      <c r="J666" s="9"/>
      <c r="X666" s="9"/>
    </row>
    <row r="667" spans="10:24" ht="14" customHeight="1" x14ac:dyDescent="0.15">
      <c r="J667" s="9"/>
      <c r="X667" s="9"/>
    </row>
    <row r="668" spans="10:24" ht="14" customHeight="1" x14ac:dyDescent="0.15">
      <c r="J668" s="9"/>
      <c r="X668" s="9"/>
    </row>
    <row r="669" spans="10:24" ht="14" customHeight="1" x14ac:dyDescent="0.15">
      <c r="J669" s="9"/>
      <c r="X669" s="9"/>
    </row>
    <row r="670" spans="10:24" ht="14" customHeight="1" x14ac:dyDescent="0.15">
      <c r="J670" s="9"/>
      <c r="X670" s="9"/>
    </row>
    <row r="671" spans="10:24" ht="14" customHeight="1" x14ac:dyDescent="0.15">
      <c r="J671" s="9"/>
      <c r="X671" s="9"/>
    </row>
    <row r="672" spans="10:24" ht="14" customHeight="1" x14ac:dyDescent="0.15">
      <c r="J672" s="9"/>
      <c r="X672" s="9"/>
    </row>
    <row r="673" spans="10:24" ht="14" customHeight="1" x14ac:dyDescent="0.15">
      <c r="J673" s="9"/>
      <c r="X673" s="9"/>
    </row>
    <row r="674" spans="10:24" ht="14" customHeight="1" x14ac:dyDescent="0.15">
      <c r="J674" s="9"/>
      <c r="X674" s="9"/>
    </row>
    <row r="675" spans="10:24" ht="14" customHeight="1" x14ac:dyDescent="0.15">
      <c r="J675" s="9"/>
      <c r="X675" s="9"/>
    </row>
    <row r="676" spans="10:24" ht="14" customHeight="1" x14ac:dyDescent="0.15">
      <c r="J676" s="9"/>
      <c r="X676" s="9"/>
    </row>
    <row r="677" spans="10:24" ht="14" customHeight="1" x14ac:dyDescent="0.15">
      <c r="J677" s="9"/>
      <c r="X677" s="9"/>
    </row>
    <row r="678" spans="10:24" ht="14" customHeight="1" x14ac:dyDescent="0.15">
      <c r="J678" s="9"/>
      <c r="X678" s="9"/>
    </row>
    <row r="679" spans="10:24" ht="14" customHeight="1" x14ac:dyDescent="0.15">
      <c r="J679" s="9"/>
      <c r="X679" s="9"/>
    </row>
    <row r="680" spans="10:24" ht="14" customHeight="1" x14ac:dyDescent="0.15">
      <c r="J680" s="9"/>
      <c r="X680" s="9"/>
    </row>
    <row r="681" spans="10:24" ht="14" customHeight="1" x14ac:dyDescent="0.15">
      <c r="J681" s="9"/>
      <c r="X681" s="9"/>
    </row>
    <row r="682" spans="10:24" ht="14" customHeight="1" x14ac:dyDescent="0.15">
      <c r="J682" s="9"/>
      <c r="X682" s="9"/>
    </row>
    <row r="683" spans="10:24" ht="14" customHeight="1" x14ac:dyDescent="0.15">
      <c r="J683" s="9"/>
      <c r="X683" s="9"/>
    </row>
    <row r="684" spans="10:24" ht="14" customHeight="1" x14ac:dyDescent="0.15">
      <c r="J684" s="9"/>
      <c r="X684" s="9"/>
    </row>
    <row r="685" spans="10:24" ht="14" customHeight="1" x14ac:dyDescent="0.15">
      <c r="J685" s="9"/>
      <c r="X685" s="9"/>
    </row>
    <row r="686" spans="10:24" ht="14" customHeight="1" x14ac:dyDescent="0.15">
      <c r="J686" s="9"/>
      <c r="X686" s="9"/>
    </row>
    <row r="687" spans="10:24" ht="14" customHeight="1" x14ac:dyDescent="0.15">
      <c r="J687" s="9"/>
      <c r="X687" s="9"/>
    </row>
    <row r="688" spans="10:24" ht="14" customHeight="1" x14ac:dyDescent="0.15">
      <c r="J688" s="9"/>
      <c r="X688" s="9"/>
    </row>
    <row r="689" spans="10:24" ht="14" customHeight="1" x14ac:dyDescent="0.15">
      <c r="J689" s="9"/>
      <c r="X689" s="9"/>
    </row>
    <row r="690" spans="10:24" ht="14" customHeight="1" x14ac:dyDescent="0.15">
      <c r="J690" s="9"/>
      <c r="X690" s="9"/>
    </row>
    <row r="691" spans="10:24" ht="14" customHeight="1" x14ac:dyDescent="0.15">
      <c r="J691" s="9"/>
      <c r="X691" s="9"/>
    </row>
    <row r="692" spans="10:24" ht="14" customHeight="1" x14ac:dyDescent="0.15">
      <c r="J692" s="9"/>
      <c r="X692" s="9"/>
    </row>
    <row r="693" spans="10:24" ht="14" customHeight="1" x14ac:dyDescent="0.15">
      <c r="J693" s="9"/>
      <c r="X693" s="9"/>
    </row>
    <row r="694" spans="10:24" ht="14" customHeight="1" x14ac:dyDescent="0.15">
      <c r="J694" s="9"/>
      <c r="X694" s="9"/>
    </row>
    <row r="695" spans="10:24" ht="14" customHeight="1" x14ac:dyDescent="0.15">
      <c r="J695" s="9"/>
      <c r="X695" s="9"/>
    </row>
    <row r="696" spans="10:24" ht="14" customHeight="1" x14ac:dyDescent="0.15">
      <c r="J696" s="9"/>
      <c r="X696" s="9"/>
    </row>
    <row r="697" spans="10:24" ht="14" customHeight="1" x14ac:dyDescent="0.15">
      <c r="J697" s="9"/>
      <c r="X697" s="9"/>
    </row>
    <row r="698" spans="10:24" ht="14" customHeight="1" x14ac:dyDescent="0.15">
      <c r="J698" s="9"/>
      <c r="X698" s="9"/>
    </row>
    <row r="699" spans="10:24" ht="14" customHeight="1" x14ac:dyDescent="0.15">
      <c r="J699" s="9"/>
      <c r="X699" s="9"/>
    </row>
    <row r="700" spans="10:24" ht="14" customHeight="1" x14ac:dyDescent="0.15">
      <c r="J700" s="9"/>
      <c r="X700" s="9"/>
    </row>
    <row r="701" spans="10:24" ht="14" customHeight="1" x14ac:dyDescent="0.15">
      <c r="J701" s="9"/>
      <c r="X701" s="9"/>
    </row>
    <row r="702" spans="10:24" ht="14" customHeight="1" x14ac:dyDescent="0.15">
      <c r="J702" s="9"/>
      <c r="X702" s="9"/>
    </row>
    <row r="703" spans="10:24" ht="14" customHeight="1" x14ac:dyDescent="0.15">
      <c r="J703" s="9"/>
      <c r="X703" s="9"/>
    </row>
    <row r="704" spans="10:24" ht="14" customHeight="1" x14ac:dyDescent="0.15">
      <c r="J704" s="9"/>
      <c r="X704" s="9"/>
    </row>
    <row r="705" spans="10:24" ht="14" customHeight="1" x14ac:dyDescent="0.15">
      <c r="J705" s="9"/>
      <c r="X705" s="9"/>
    </row>
    <row r="706" spans="10:24" ht="14" customHeight="1" x14ac:dyDescent="0.15">
      <c r="J706" s="9"/>
      <c r="X706" s="9"/>
    </row>
    <row r="707" spans="10:24" ht="14" customHeight="1" x14ac:dyDescent="0.15">
      <c r="J707" s="9"/>
      <c r="X707" s="9"/>
    </row>
    <row r="708" spans="10:24" ht="14" customHeight="1" x14ac:dyDescent="0.15">
      <c r="J708" s="9"/>
      <c r="X708" s="9"/>
    </row>
    <row r="709" spans="10:24" ht="14" customHeight="1" x14ac:dyDescent="0.15">
      <c r="J709" s="9"/>
      <c r="X709" s="9"/>
    </row>
    <row r="710" spans="10:24" ht="14" customHeight="1" x14ac:dyDescent="0.15">
      <c r="J710" s="9"/>
      <c r="X710" s="9"/>
    </row>
    <row r="711" spans="10:24" ht="14" customHeight="1" x14ac:dyDescent="0.15">
      <c r="J711" s="9"/>
      <c r="X711" s="9"/>
    </row>
    <row r="712" spans="10:24" ht="14" customHeight="1" x14ac:dyDescent="0.15">
      <c r="J712" s="9"/>
      <c r="X712" s="9"/>
    </row>
    <row r="713" spans="10:24" ht="14" customHeight="1" x14ac:dyDescent="0.15">
      <c r="J713" s="9"/>
      <c r="X713" s="9"/>
    </row>
    <row r="714" spans="10:24" ht="14" customHeight="1" x14ac:dyDescent="0.15">
      <c r="J714" s="9"/>
      <c r="X714" s="9"/>
    </row>
    <row r="715" spans="10:24" ht="14" customHeight="1" x14ac:dyDescent="0.15">
      <c r="J715" s="9"/>
      <c r="X715" s="9"/>
    </row>
    <row r="716" spans="10:24" ht="14" customHeight="1" x14ac:dyDescent="0.15">
      <c r="J716" s="9"/>
      <c r="X716" s="9"/>
    </row>
    <row r="717" spans="10:24" ht="14" customHeight="1" x14ac:dyDescent="0.15">
      <c r="J717" s="9"/>
      <c r="X717" s="9"/>
    </row>
    <row r="718" spans="10:24" ht="14" customHeight="1" x14ac:dyDescent="0.15">
      <c r="J718" s="9"/>
      <c r="X718" s="9"/>
    </row>
    <row r="719" spans="10:24" ht="14" customHeight="1" x14ac:dyDescent="0.15">
      <c r="J719" s="9"/>
      <c r="X719" s="9"/>
    </row>
    <row r="720" spans="10:24" ht="14" customHeight="1" x14ac:dyDescent="0.15">
      <c r="J720" s="9"/>
      <c r="X720" s="9"/>
    </row>
    <row r="721" spans="10:24" ht="14" customHeight="1" x14ac:dyDescent="0.15">
      <c r="J721" s="9"/>
      <c r="X721" s="9"/>
    </row>
    <row r="722" spans="10:24" ht="14" customHeight="1" x14ac:dyDescent="0.15">
      <c r="J722" s="9"/>
      <c r="X722" s="9"/>
    </row>
    <row r="723" spans="10:24" ht="14" customHeight="1" x14ac:dyDescent="0.15">
      <c r="J723" s="9"/>
      <c r="X723" s="9"/>
    </row>
    <row r="724" spans="10:24" ht="14" customHeight="1" x14ac:dyDescent="0.15">
      <c r="J724" s="9"/>
      <c r="X724" s="9"/>
    </row>
    <row r="725" spans="10:24" ht="14" customHeight="1" x14ac:dyDescent="0.15">
      <c r="J725" s="9"/>
      <c r="X725" s="9"/>
    </row>
    <row r="726" spans="10:24" ht="14" customHeight="1" x14ac:dyDescent="0.15">
      <c r="J726" s="9"/>
      <c r="X726" s="9"/>
    </row>
    <row r="727" spans="10:24" ht="14" customHeight="1" x14ac:dyDescent="0.15">
      <c r="J727" s="9"/>
      <c r="X727" s="9"/>
    </row>
    <row r="728" spans="10:24" ht="14" customHeight="1" x14ac:dyDescent="0.15">
      <c r="J728" s="9"/>
      <c r="X728" s="9"/>
    </row>
    <row r="729" spans="10:24" ht="14" customHeight="1" x14ac:dyDescent="0.15">
      <c r="J729" s="9"/>
      <c r="X729" s="9"/>
    </row>
    <row r="730" spans="10:24" ht="14" customHeight="1" x14ac:dyDescent="0.15">
      <c r="J730" s="9"/>
      <c r="X730" s="9"/>
    </row>
    <row r="731" spans="10:24" ht="14" customHeight="1" x14ac:dyDescent="0.15">
      <c r="J731" s="9"/>
      <c r="X731" s="9"/>
    </row>
    <row r="732" spans="10:24" ht="14" customHeight="1" x14ac:dyDescent="0.15">
      <c r="J732" s="9"/>
      <c r="X732" s="9"/>
    </row>
    <row r="733" spans="10:24" ht="14" customHeight="1" x14ac:dyDescent="0.15">
      <c r="J733" s="9"/>
      <c r="X733" s="9"/>
    </row>
    <row r="734" spans="10:24" ht="14" customHeight="1" x14ac:dyDescent="0.15">
      <c r="J734" s="9"/>
      <c r="X734" s="9"/>
    </row>
    <row r="735" spans="10:24" ht="14" customHeight="1" x14ac:dyDescent="0.15">
      <c r="J735" s="9"/>
      <c r="X735" s="9"/>
    </row>
    <row r="736" spans="10:24" ht="14" customHeight="1" x14ac:dyDescent="0.15">
      <c r="J736" s="9"/>
      <c r="X736" s="9"/>
    </row>
    <row r="737" spans="10:24" ht="14" customHeight="1" x14ac:dyDescent="0.15">
      <c r="J737" s="9"/>
      <c r="X737" s="9"/>
    </row>
    <row r="738" spans="10:24" ht="14" customHeight="1" x14ac:dyDescent="0.15">
      <c r="J738" s="9"/>
      <c r="X738" s="9"/>
    </row>
    <row r="739" spans="10:24" ht="14" customHeight="1" x14ac:dyDescent="0.15">
      <c r="J739" s="9"/>
      <c r="X739" s="9"/>
    </row>
    <row r="740" spans="10:24" ht="14" customHeight="1" x14ac:dyDescent="0.15">
      <c r="J740" s="9"/>
      <c r="X740" s="9"/>
    </row>
    <row r="741" spans="10:24" ht="14" customHeight="1" x14ac:dyDescent="0.15">
      <c r="J741" s="9"/>
      <c r="X741" s="9"/>
    </row>
    <row r="742" spans="10:24" ht="14" customHeight="1" x14ac:dyDescent="0.15">
      <c r="J742" s="9"/>
      <c r="X742" s="9"/>
    </row>
    <row r="743" spans="10:24" ht="14" customHeight="1" x14ac:dyDescent="0.15">
      <c r="J743" s="9"/>
      <c r="X743" s="9"/>
    </row>
    <row r="744" spans="10:24" ht="14" customHeight="1" x14ac:dyDescent="0.15">
      <c r="J744" s="9"/>
      <c r="X744" s="9"/>
    </row>
    <row r="745" spans="10:24" ht="14" customHeight="1" x14ac:dyDescent="0.15">
      <c r="J745" s="9"/>
      <c r="X745" s="9"/>
    </row>
    <row r="746" spans="10:24" ht="14" customHeight="1" x14ac:dyDescent="0.15">
      <c r="J746" s="9"/>
      <c r="X746" s="9"/>
    </row>
    <row r="747" spans="10:24" ht="14" customHeight="1" x14ac:dyDescent="0.15">
      <c r="J747" s="9"/>
      <c r="X747" s="9"/>
    </row>
    <row r="748" spans="10:24" ht="14" customHeight="1" x14ac:dyDescent="0.15">
      <c r="J748" s="9"/>
      <c r="X748" s="9"/>
    </row>
    <row r="749" spans="10:24" ht="14" customHeight="1" x14ac:dyDescent="0.15">
      <c r="J749" s="9"/>
      <c r="X749" s="9"/>
    </row>
    <row r="750" spans="10:24" ht="14" customHeight="1" x14ac:dyDescent="0.15">
      <c r="J750" s="9"/>
      <c r="X750" s="9"/>
    </row>
    <row r="751" spans="10:24" ht="14" customHeight="1" x14ac:dyDescent="0.15">
      <c r="J751" s="9"/>
      <c r="X751" s="9"/>
    </row>
    <row r="752" spans="10:24" ht="14" customHeight="1" x14ac:dyDescent="0.15">
      <c r="J752" s="9"/>
      <c r="X752" s="9"/>
    </row>
    <row r="753" spans="10:24" ht="14" customHeight="1" x14ac:dyDescent="0.15">
      <c r="J753" s="9"/>
      <c r="X753" s="9"/>
    </row>
    <row r="754" spans="10:24" ht="14" customHeight="1" x14ac:dyDescent="0.15">
      <c r="J754" s="9"/>
      <c r="X754" s="9"/>
    </row>
    <row r="755" spans="10:24" ht="14" customHeight="1" x14ac:dyDescent="0.15">
      <c r="J755" s="9"/>
      <c r="X755" s="9"/>
    </row>
    <row r="756" spans="10:24" ht="14" customHeight="1" x14ac:dyDescent="0.15">
      <c r="J756" s="9"/>
      <c r="X756" s="9"/>
    </row>
    <row r="757" spans="10:24" ht="14" customHeight="1" x14ac:dyDescent="0.15">
      <c r="J757" s="9"/>
      <c r="X757" s="9"/>
    </row>
    <row r="758" spans="10:24" ht="14" customHeight="1" x14ac:dyDescent="0.15">
      <c r="J758" s="9"/>
      <c r="X758" s="9"/>
    </row>
    <row r="759" spans="10:24" ht="14" customHeight="1" x14ac:dyDescent="0.15">
      <c r="J759" s="9"/>
      <c r="X759" s="9"/>
    </row>
    <row r="760" spans="10:24" ht="14" customHeight="1" x14ac:dyDescent="0.15">
      <c r="J760" s="9"/>
      <c r="X760" s="9"/>
    </row>
    <row r="761" spans="10:24" ht="14" customHeight="1" x14ac:dyDescent="0.15">
      <c r="J761" s="9"/>
      <c r="X761" s="9"/>
    </row>
    <row r="762" spans="10:24" ht="14" customHeight="1" x14ac:dyDescent="0.15">
      <c r="J762" s="9"/>
      <c r="X762" s="9"/>
    </row>
    <row r="763" spans="10:24" ht="14" customHeight="1" x14ac:dyDescent="0.15">
      <c r="J763" s="9"/>
      <c r="X763" s="9"/>
    </row>
    <row r="764" spans="10:24" ht="14" customHeight="1" x14ac:dyDescent="0.15">
      <c r="J764" s="9"/>
      <c r="X764" s="9"/>
    </row>
    <row r="765" spans="10:24" ht="14" customHeight="1" x14ac:dyDescent="0.15">
      <c r="J765" s="9"/>
      <c r="X765" s="9"/>
    </row>
    <row r="766" spans="10:24" ht="14" customHeight="1" x14ac:dyDescent="0.15">
      <c r="J766" s="9"/>
      <c r="X766" s="9"/>
    </row>
    <row r="767" spans="10:24" ht="14" customHeight="1" x14ac:dyDescent="0.15">
      <c r="J767" s="9"/>
      <c r="X767" s="9"/>
    </row>
    <row r="768" spans="10:24" ht="14" customHeight="1" x14ac:dyDescent="0.15">
      <c r="J768" s="9"/>
      <c r="X768" s="9"/>
    </row>
    <row r="769" spans="10:24" ht="14" customHeight="1" x14ac:dyDescent="0.15">
      <c r="J769" s="9"/>
      <c r="X769" s="9"/>
    </row>
    <row r="770" spans="10:24" ht="14" customHeight="1" x14ac:dyDescent="0.15">
      <c r="J770" s="9"/>
      <c r="X770" s="9"/>
    </row>
    <row r="771" spans="10:24" ht="14" customHeight="1" x14ac:dyDescent="0.15">
      <c r="J771" s="9"/>
      <c r="X771" s="9"/>
    </row>
    <row r="772" spans="10:24" ht="14" customHeight="1" x14ac:dyDescent="0.15">
      <c r="J772" s="9"/>
      <c r="X772" s="9"/>
    </row>
    <row r="773" spans="10:24" ht="14" customHeight="1" x14ac:dyDescent="0.15">
      <c r="J773" s="9"/>
      <c r="X773" s="9"/>
    </row>
    <row r="774" spans="10:24" ht="14" customHeight="1" x14ac:dyDescent="0.15">
      <c r="J774" s="9"/>
      <c r="X774" s="9"/>
    </row>
    <row r="775" spans="10:24" ht="14" customHeight="1" x14ac:dyDescent="0.15">
      <c r="J775" s="9"/>
      <c r="X775" s="9"/>
    </row>
    <row r="776" spans="10:24" ht="14" customHeight="1" x14ac:dyDescent="0.15">
      <c r="J776" s="9"/>
      <c r="X776" s="9"/>
    </row>
    <row r="777" spans="10:24" ht="14" customHeight="1" x14ac:dyDescent="0.15">
      <c r="J777" s="9"/>
      <c r="X777" s="9"/>
    </row>
    <row r="778" spans="10:24" ht="14" customHeight="1" x14ac:dyDescent="0.15">
      <c r="J778" s="9"/>
      <c r="X778" s="9"/>
    </row>
    <row r="779" spans="10:24" ht="14" customHeight="1" x14ac:dyDescent="0.15">
      <c r="J779" s="9"/>
      <c r="X779" s="9"/>
    </row>
    <row r="780" spans="10:24" ht="14" customHeight="1" x14ac:dyDescent="0.15">
      <c r="J780" s="9"/>
      <c r="X780" s="9"/>
    </row>
    <row r="781" spans="10:24" ht="14" customHeight="1" x14ac:dyDescent="0.15">
      <c r="J781" s="9"/>
      <c r="X781" s="9"/>
    </row>
    <row r="782" spans="10:24" ht="14" customHeight="1" x14ac:dyDescent="0.15">
      <c r="J782" s="9"/>
      <c r="X782" s="9"/>
    </row>
    <row r="783" spans="10:24" ht="14" customHeight="1" x14ac:dyDescent="0.15">
      <c r="J783" s="9"/>
      <c r="X783" s="9"/>
    </row>
    <row r="784" spans="10:24" ht="14" customHeight="1" x14ac:dyDescent="0.15">
      <c r="J784" s="9"/>
      <c r="X784" s="9"/>
    </row>
    <row r="785" spans="10:24" ht="14" customHeight="1" x14ac:dyDescent="0.15">
      <c r="J785" s="9"/>
      <c r="X785" s="9"/>
    </row>
    <row r="786" spans="10:24" ht="14" customHeight="1" x14ac:dyDescent="0.15">
      <c r="J786" s="9"/>
      <c r="X786" s="9"/>
    </row>
    <row r="787" spans="10:24" ht="14" customHeight="1" x14ac:dyDescent="0.15">
      <c r="J787" s="9"/>
      <c r="X787" s="9"/>
    </row>
    <row r="788" spans="10:24" ht="14" customHeight="1" x14ac:dyDescent="0.15">
      <c r="J788" s="9"/>
      <c r="X788" s="9"/>
    </row>
    <row r="789" spans="10:24" ht="14" customHeight="1" x14ac:dyDescent="0.15">
      <c r="J789" s="9"/>
      <c r="X789" s="9"/>
    </row>
    <row r="790" spans="10:24" ht="14" customHeight="1" x14ac:dyDescent="0.15">
      <c r="J790" s="9"/>
      <c r="X790" s="9"/>
    </row>
    <row r="791" spans="10:24" ht="14" customHeight="1" x14ac:dyDescent="0.15">
      <c r="J791" s="9"/>
      <c r="X791" s="9"/>
    </row>
    <row r="792" spans="10:24" ht="14" customHeight="1" x14ac:dyDescent="0.15">
      <c r="J792" s="9"/>
      <c r="X792" s="9"/>
    </row>
    <row r="793" spans="10:24" ht="14" customHeight="1" x14ac:dyDescent="0.15">
      <c r="J793" s="9"/>
      <c r="X793" s="9"/>
    </row>
    <row r="794" spans="10:24" ht="14" customHeight="1" x14ac:dyDescent="0.15">
      <c r="J794" s="9"/>
      <c r="X794" s="9"/>
    </row>
    <row r="795" spans="10:24" ht="14" customHeight="1" x14ac:dyDescent="0.15">
      <c r="J795" s="9"/>
      <c r="X795" s="9"/>
    </row>
    <row r="796" spans="10:24" ht="14" customHeight="1" x14ac:dyDescent="0.15">
      <c r="J796" s="9"/>
      <c r="X796" s="9"/>
    </row>
    <row r="797" spans="10:24" ht="14" customHeight="1" x14ac:dyDescent="0.15">
      <c r="J797" s="9"/>
      <c r="X797" s="9"/>
    </row>
    <row r="798" spans="10:24" ht="14" customHeight="1" x14ac:dyDescent="0.15">
      <c r="J798" s="9"/>
      <c r="X798" s="9"/>
    </row>
    <row r="799" spans="10:24" ht="14" customHeight="1" x14ac:dyDescent="0.15">
      <c r="J799" s="9"/>
      <c r="X799" s="9"/>
    </row>
    <row r="800" spans="10:24" ht="14" customHeight="1" x14ac:dyDescent="0.15">
      <c r="J800" s="9"/>
      <c r="X800" s="9"/>
    </row>
    <row r="801" spans="10:24" ht="14" customHeight="1" x14ac:dyDescent="0.15">
      <c r="J801" s="9"/>
      <c r="X801" s="9"/>
    </row>
    <row r="802" spans="10:24" ht="14" customHeight="1" x14ac:dyDescent="0.15">
      <c r="J802" s="9"/>
      <c r="X802" s="9"/>
    </row>
    <row r="803" spans="10:24" ht="14" customHeight="1" x14ac:dyDescent="0.15">
      <c r="J803" s="9"/>
      <c r="X803" s="9"/>
    </row>
    <row r="804" spans="10:24" ht="14" customHeight="1" x14ac:dyDescent="0.15">
      <c r="J804" s="9"/>
      <c r="X804" s="9"/>
    </row>
    <row r="805" spans="10:24" ht="14" customHeight="1" x14ac:dyDescent="0.15">
      <c r="J805" s="9"/>
      <c r="X805" s="9"/>
    </row>
    <row r="806" spans="10:24" ht="14" customHeight="1" x14ac:dyDescent="0.15">
      <c r="J806" s="9"/>
      <c r="X806" s="9"/>
    </row>
    <row r="807" spans="10:24" ht="14" customHeight="1" x14ac:dyDescent="0.15">
      <c r="J807" s="9"/>
      <c r="X807" s="9"/>
    </row>
    <row r="808" spans="10:24" ht="14" customHeight="1" x14ac:dyDescent="0.15">
      <c r="J808" s="9"/>
      <c r="X808" s="9"/>
    </row>
    <row r="809" spans="10:24" ht="14" customHeight="1" x14ac:dyDescent="0.15">
      <c r="J809" s="9"/>
      <c r="X809" s="9"/>
    </row>
    <row r="810" spans="10:24" ht="14" customHeight="1" x14ac:dyDescent="0.15">
      <c r="J810" s="9"/>
      <c r="X810" s="9"/>
    </row>
    <row r="811" spans="10:24" ht="14" customHeight="1" x14ac:dyDescent="0.15">
      <c r="J811" s="9"/>
      <c r="X811" s="9"/>
    </row>
    <row r="812" spans="10:24" ht="14" customHeight="1" x14ac:dyDescent="0.15">
      <c r="J812" s="9"/>
      <c r="X812" s="9"/>
    </row>
    <row r="813" spans="10:24" ht="14" customHeight="1" x14ac:dyDescent="0.15">
      <c r="J813" s="9"/>
      <c r="X813" s="9"/>
    </row>
    <row r="814" spans="10:24" ht="14" customHeight="1" x14ac:dyDescent="0.15">
      <c r="J814" s="9"/>
      <c r="X814" s="9"/>
    </row>
    <row r="815" spans="10:24" ht="14" customHeight="1" x14ac:dyDescent="0.15">
      <c r="J815" s="9"/>
      <c r="X815" s="9"/>
    </row>
    <row r="816" spans="10:24" ht="14" customHeight="1" x14ac:dyDescent="0.15">
      <c r="J816" s="9"/>
      <c r="X816" s="9"/>
    </row>
    <row r="817" spans="10:24" ht="14" customHeight="1" x14ac:dyDescent="0.15">
      <c r="J817" s="9"/>
      <c r="X817" s="9"/>
    </row>
    <row r="818" spans="10:24" ht="14" customHeight="1" x14ac:dyDescent="0.15">
      <c r="J818" s="9"/>
      <c r="X818" s="9"/>
    </row>
    <row r="819" spans="10:24" ht="14" customHeight="1" x14ac:dyDescent="0.15">
      <c r="J819" s="9"/>
      <c r="X819" s="9"/>
    </row>
    <row r="820" spans="10:24" ht="14" customHeight="1" x14ac:dyDescent="0.15">
      <c r="J820" s="9"/>
      <c r="X820" s="9"/>
    </row>
    <row r="821" spans="10:24" ht="14" customHeight="1" x14ac:dyDescent="0.15">
      <c r="J821" s="9"/>
      <c r="X821" s="9"/>
    </row>
    <row r="822" spans="10:24" ht="14" customHeight="1" x14ac:dyDescent="0.15">
      <c r="J822" s="9"/>
      <c r="X822" s="9"/>
    </row>
    <row r="823" spans="10:24" ht="14" customHeight="1" x14ac:dyDescent="0.15">
      <c r="J823" s="9"/>
      <c r="X823" s="9"/>
    </row>
    <row r="824" spans="10:24" ht="14" customHeight="1" x14ac:dyDescent="0.15">
      <c r="J824" s="9"/>
      <c r="X824" s="9"/>
    </row>
    <row r="825" spans="10:24" ht="14" customHeight="1" x14ac:dyDescent="0.15">
      <c r="J825" s="9"/>
      <c r="X825" s="9"/>
    </row>
    <row r="826" spans="10:24" ht="14" customHeight="1" x14ac:dyDescent="0.15">
      <c r="J826" s="9"/>
      <c r="X826" s="9"/>
    </row>
    <row r="827" spans="10:24" ht="14" customHeight="1" x14ac:dyDescent="0.15">
      <c r="J827" s="9"/>
      <c r="X827" s="9"/>
    </row>
    <row r="828" spans="10:24" ht="14" customHeight="1" x14ac:dyDescent="0.15">
      <c r="J828" s="9"/>
      <c r="X828" s="9"/>
    </row>
    <row r="829" spans="10:24" ht="14" customHeight="1" x14ac:dyDescent="0.15">
      <c r="J829" s="9"/>
      <c r="X829" s="9"/>
    </row>
    <row r="830" spans="10:24" ht="14" customHeight="1" x14ac:dyDescent="0.15">
      <c r="J830" s="9"/>
      <c r="X830" s="9"/>
    </row>
    <row r="831" spans="10:24" ht="14" customHeight="1" x14ac:dyDescent="0.15">
      <c r="J831" s="9"/>
      <c r="X831" s="9"/>
    </row>
    <row r="832" spans="10:24" ht="14" customHeight="1" x14ac:dyDescent="0.15">
      <c r="J832" s="9"/>
      <c r="X832" s="9"/>
    </row>
    <row r="833" spans="10:24" ht="14" customHeight="1" x14ac:dyDescent="0.15">
      <c r="J833" s="9"/>
      <c r="X833" s="9"/>
    </row>
    <row r="834" spans="10:24" ht="14" customHeight="1" x14ac:dyDescent="0.15">
      <c r="J834" s="9"/>
      <c r="X834" s="9"/>
    </row>
    <row r="835" spans="10:24" ht="14" customHeight="1" x14ac:dyDescent="0.15">
      <c r="J835" s="9"/>
      <c r="X835" s="9"/>
    </row>
    <row r="836" spans="10:24" ht="14" customHeight="1" x14ac:dyDescent="0.15">
      <c r="J836" s="9"/>
      <c r="X836" s="9"/>
    </row>
    <row r="837" spans="10:24" ht="14" customHeight="1" x14ac:dyDescent="0.15">
      <c r="J837" s="9"/>
      <c r="X837" s="9"/>
    </row>
    <row r="838" spans="10:24" ht="14" customHeight="1" x14ac:dyDescent="0.15">
      <c r="J838" s="9"/>
      <c r="X838" s="9"/>
    </row>
    <row r="839" spans="10:24" ht="14" customHeight="1" x14ac:dyDescent="0.15">
      <c r="J839" s="9"/>
      <c r="X839" s="9"/>
    </row>
    <row r="840" spans="10:24" ht="14" customHeight="1" x14ac:dyDescent="0.15">
      <c r="J840" s="9"/>
      <c r="X840" s="9"/>
    </row>
    <row r="841" spans="10:24" ht="14" customHeight="1" x14ac:dyDescent="0.15">
      <c r="J841" s="9"/>
      <c r="X841" s="9"/>
    </row>
    <row r="842" spans="10:24" ht="14" customHeight="1" x14ac:dyDescent="0.15">
      <c r="J842" s="9"/>
      <c r="X842" s="9"/>
    </row>
    <row r="843" spans="10:24" ht="14" customHeight="1" x14ac:dyDescent="0.15">
      <c r="J843" s="9"/>
      <c r="X843" s="9"/>
    </row>
    <row r="844" spans="10:24" ht="14" customHeight="1" x14ac:dyDescent="0.15">
      <c r="J844" s="9"/>
      <c r="X844" s="9"/>
    </row>
    <row r="845" spans="10:24" ht="14" customHeight="1" x14ac:dyDescent="0.15">
      <c r="J845" s="9"/>
      <c r="X845" s="9"/>
    </row>
    <row r="846" spans="10:24" ht="14" customHeight="1" x14ac:dyDescent="0.15">
      <c r="J846" s="9"/>
      <c r="X846" s="9"/>
    </row>
    <row r="847" spans="10:24" ht="14" customHeight="1" x14ac:dyDescent="0.15">
      <c r="J847" s="9"/>
      <c r="X847" s="9"/>
    </row>
    <row r="848" spans="10:24" ht="14" customHeight="1" x14ac:dyDescent="0.15">
      <c r="J848" s="9"/>
      <c r="X848" s="9"/>
    </row>
    <row r="849" spans="10:24" ht="14" customHeight="1" x14ac:dyDescent="0.15">
      <c r="J849" s="9"/>
      <c r="X849" s="9"/>
    </row>
    <row r="850" spans="10:24" ht="14" customHeight="1" x14ac:dyDescent="0.15">
      <c r="J850" s="9"/>
      <c r="X850" s="9"/>
    </row>
    <row r="851" spans="10:24" ht="14" customHeight="1" x14ac:dyDescent="0.15">
      <c r="J851" s="9"/>
      <c r="X851" s="9"/>
    </row>
    <row r="852" spans="10:24" ht="14" customHeight="1" x14ac:dyDescent="0.15">
      <c r="J852" s="9"/>
      <c r="X852" s="9"/>
    </row>
    <row r="853" spans="10:24" ht="14" customHeight="1" x14ac:dyDescent="0.15">
      <c r="J853" s="9"/>
      <c r="X853" s="9"/>
    </row>
    <row r="854" spans="10:24" ht="14" customHeight="1" x14ac:dyDescent="0.15">
      <c r="J854" s="9"/>
      <c r="X854" s="9"/>
    </row>
    <row r="855" spans="10:24" ht="14" customHeight="1" x14ac:dyDescent="0.15">
      <c r="J855" s="9"/>
      <c r="X855" s="9"/>
    </row>
    <row r="856" spans="10:24" ht="14" customHeight="1" x14ac:dyDescent="0.15">
      <c r="J856" s="9"/>
      <c r="X856" s="9"/>
    </row>
    <row r="857" spans="10:24" ht="14" customHeight="1" x14ac:dyDescent="0.15">
      <c r="J857" s="9"/>
      <c r="X857" s="9"/>
    </row>
    <row r="858" spans="10:24" ht="14" customHeight="1" x14ac:dyDescent="0.15">
      <c r="J858" s="9"/>
      <c r="X858" s="9"/>
    </row>
    <row r="859" spans="10:24" ht="14" customHeight="1" x14ac:dyDescent="0.15">
      <c r="J859" s="9"/>
      <c r="X859" s="9"/>
    </row>
    <row r="860" spans="10:24" ht="14" customHeight="1" x14ac:dyDescent="0.15">
      <c r="J860" s="9"/>
      <c r="X860" s="9"/>
    </row>
    <row r="861" spans="10:24" ht="14" customHeight="1" x14ac:dyDescent="0.15">
      <c r="J861" s="9"/>
      <c r="X861" s="9"/>
    </row>
    <row r="862" spans="10:24" ht="14" customHeight="1" x14ac:dyDescent="0.15">
      <c r="J862" s="9"/>
      <c r="X862" s="9"/>
    </row>
    <row r="863" spans="10:24" ht="14" customHeight="1" x14ac:dyDescent="0.15">
      <c r="J863" s="9"/>
      <c r="X863" s="9"/>
    </row>
    <row r="864" spans="10:24" ht="14" customHeight="1" x14ac:dyDescent="0.15">
      <c r="J864" s="9"/>
      <c r="X864" s="9"/>
    </row>
    <row r="865" spans="10:24" ht="14" customHeight="1" x14ac:dyDescent="0.15">
      <c r="J865" s="9"/>
      <c r="X865" s="9"/>
    </row>
    <row r="866" spans="10:24" ht="14" customHeight="1" x14ac:dyDescent="0.15">
      <c r="J866" s="9"/>
      <c r="X866" s="9"/>
    </row>
    <row r="867" spans="10:24" ht="14" customHeight="1" x14ac:dyDescent="0.15">
      <c r="J867" s="9"/>
      <c r="X867" s="9"/>
    </row>
    <row r="868" spans="10:24" ht="14" customHeight="1" x14ac:dyDescent="0.15">
      <c r="J868" s="9"/>
      <c r="X868" s="9"/>
    </row>
    <row r="869" spans="10:24" ht="14" customHeight="1" x14ac:dyDescent="0.15">
      <c r="J869" s="9"/>
      <c r="X869" s="9"/>
    </row>
    <row r="870" spans="10:24" ht="14" customHeight="1" x14ac:dyDescent="0.15">
      <c r="J870" s="9"/>
      <c r="X870" s="9"/>
    </row>
    <row r="871" spans="10:24" ht="14" customHeight="1" x14ac:dyDescent="0.15">
      <c r="J871" s="9"/>
      <c r="X871" s="9"/>
    </row>
    <row r="872" spans="10:24" ht="14" customHeight="1" x14ac:dyDescent="0.15">
      <c r="J872" s="9"/>
      <c r="X872" s="9"/>
    </row>
    <row r="873" spans="10:24" ht="14" customHeight="1" x14ac:dyDescent="0.15">
      <c r="J873" s="9"/>
      <c r="X873" s="9"/>
    </row>
    <row r="874" spans="10:24" ht="14" customHeight="1" x14ac:dyDescent="0.15">
      <c r="J874" s="9"/>
      <c r="X874" s="9"/>
    </row>
    <row r="875" spans="10:24" ht="14" customHeight="1" x14ac:dyDescent="0.15">
      <c r="J875" s="9"/>
      <c r="X875" s="9"/>
    </row>
    <row r="876" spans="10:24" ht="14" customHeight="1" x14ac:dyDescent="0.15">
      <c r="J876" s="9"/>
      <c r="X876" s="9"/>
    </row>
    <row r="877" spans="10:24" ht="14" customHeight="1" x14ac:dyDescent="0.15">
      <c r="J877" s="9"/>
      <c r="X877" s="9"/>
    </row>
    <row r="878" spans="10:24" ht="14" customHeight="1" x14ac:dyDescent="0.15">
      <c r="J878" s="9"/>
      <c r="X878" s="9"/>
    </row>
    <row r="879" spans="10:24" ht="14" customHeight="1" x14ac:dyDescent="0.15">
      <c r="J879" s="9"/>
      <c r="X879" s="9"/>
    </row>
    <row r="880" spans="10:24" ht="14" customHeight="1" x14ac:dyDescent="0.15">
      <c r="J880" s="9"/>
      <c r="X880" s="9"/>
    </row>
    <row r="881" spans="10:24" ht="14" customHeight="1" x14ac:dyDescent="0.15">
      <c r="J881" s="9"/>
      <c r="X881" s="9"/>
    </row>
    <row r="882" spans="10:24" ht="14" customHeight="1" x14ac:dyDescent="0.15">
      <c r="J882" s="9"/>
      <c r="X882" s="9"/>
    </row>
    <row r="883" spans="10:24" ht="14" customHeight="1" x14ac:dyDescent="0.15">
      <c r="J883" s="9"/>
      <c r="X883" s="9"/>
    </row>
    <row r="884" spans="10:24" ht="14" customHeight="1" x14ac:dyDescent="0.15">
      <c r="J884" s="9"/>
      <c r="X884" s="9"/>
    </row>
    <row r="885" spans="10:24" ht="14" customHeight="1" x14ac:dyDescent="0.15">
      <c r="J885" s="9"/>
      <c r="X885" s="9"/>
    </row>
    <row r="886" spans="10:24" ht="14" customHeight="1" x14ac:dyDescent="0.15">
      <c r="J886" s="9"/>
      <c r="X886" s="9"/>
    </row>
    <row r="887" spans="10:24" ht="14" customHeight="1" x14ac:dyDescent="0.15">
      <c r="J887" s="9"/>
      <c r="X887" s="9"/>
    </row>
    <row r="888" spans="10:24" ht="14" customHeight="1" x14ac:dyDescent="0.15">
      <c r="J888" s="9"/>
      <c r="X888" s="9"/>
    </row>
    <row r="889" spans="10:24" ht="14" customHeight="1" x14ac:dyDescent="0.15">
      <c r="J889" s="9"/>
      <c r="X889" s="9"/>
    </row>
    <row r="890" spans="10:24" ht="14" customHeight="1" x14ac:dyDescent="0.15">
      <c r="J890" s="9"/>
      <c r="X890" s="9"/>
    </row>
    <row r="891" spans="10:24" ht="14" customHeight="1" x14ac:dyDescent="0.15">
      <c r="J891" s="9"/>
      <c r="X891" s="9"/>
    </row>
    <row r="892" spans="10:24" ht="14" customHeight="1" x14ac:dyDescent="0.15">
      <c r="J892" s="9"/>
      <c r="X892" s="9"/>
    </row>
    <row r="893" spans="10:24" ht="14" customHeight="1" x14ac:dyDescent="0.15">
      <c r="J893" s="9"/>
      <c r="X893" s="9"/>
    </row>
    <row r="894" spans="10:24" ht="14" customHeight="1" x14ac:dyDescent="0.15">
      <c r="J894" s="9"/>
      <c r="X894" s="9"/>
    </row>
    <row r="895" spans="10:24" ht="14" customHeight="1" x14ac:dyDescent="0.15">
      <c r="J895" s="9"/>
      <c r="X895" s="9"/>
    </row>
    <row r="896" spans="10:24" ht="14" customHeight="1" x14ac:dyDescent="0.15">
      <c r="J896" s="9"/>
      <c r="X896" s="9"/>
    </row>
    <row r="897" spans="10:24" ht="14" customHeight="1" x14ac:dyDescent="0.15">
      <c r="J897" s="9"/>
      <c r="X897" s="9"/>
    </row>
    <row r="898" spans="10:24" ht="14" customHeight="1" x14ac:dyDescent="0.15">
      <c r="J898" s="9"/>
      <c r="X898" s="9"/>
    </row>
    <row r="899" spans="10:24" ht="14" customHeight="1" x14ac:dyDescent="0.15">
      <c r="J899" s="9"/>
      <c r="X899" s="9"/>
    </row>
    <row r="900" spans="10:24" ht="14" customHeight="1" x14ac:dyDescent="0.15">
      <c r="J900" s="9"/>
      <c r="X900" s="9"/>
    </row>
    <row r="901" spans="10:24" ht="14" customHeight="1" x14ac:dyDescent="0.15">
      <c r="J901" s="9"/>
      <c r="X901" s="9"/>
    </row>
    <row r="902" spans="10:24" ht="14" customHeight="1" x14ac:dyDescent="0.15">
      <c r="J902" s="9"/>
      <c r="X902" s="9"/>
    </row>
    <row r="903" spans="10:24" ht="14" customHeight="1" x14ac:dyDescent="0.15">
      <c r="J903" s="9"/>
      <c r="X903" s="9"/>
    </row>
    <row r="904" spans="10:24" ht="14" customHeight="1" x14ac:dyDescent="0.15">
      <c r="J904" s="9"/>
      <c r="X904" s="9"/>
    </row>
    <row r="905" spans="10:24" ht="14" customHeight="1" x14ac:dyDescent="0.15">
      <c r="J905" s="9"/>
      <c r="X905" s="9"/>
    </row>
    <row r="906" spans="10:24" ht="14" customHeight="1" x14ac:dyDescent="0.15">
      <c r="J906" s="9"/>
      <c r="X906" s="9"/>
    </row>
    <row r="907" spans="10:24" ht="14" customHeight="1" x14ac:dyDescent="0.15">
      <c r="J907" s="9"/>
      <c r="X907" s="9"/>
    </row>
    <row r="908" spans="10:24" ht="14" customHeight="1" x14ac:dyDescent="0.15">
      <c r="J908" s="9"/>
      <c r="X908" s="9"/>
    </row>
    <row r="909" spans="10:24" ht="14" customHeight="1" x14ac:dyDescent="0.15">
      <c r="J909" s="9"/>
      <c r="X909" s="9"/>
    </row>
    <row r="910" spans="10:24" ht="14" customHeight="1" x14ac:dyDescent="0.15">
      <c r="J910" s="9"/>
      <c r="X910" s="9"/>
    </row>
    <row r="911" spans="10:24" ht="14" customHeight="1" x14ac:dyDescent="0.15">
      <c r="J911" s="9"/>
      <c r="X911" s="9"/>
    </row>
    <row r="912" spans="10:24" ht="14" customHeight="1" x14ac:dyDescent="0.15">
      <c r="J912" s="9"/>
      <c r="X912" s="9"/>
    </row>
    <row r="913" spans="10:24" ht="14" customHeight="1" x14ac:dyDescent="0.15">
      <c r="J913" s="9"/>
      <c r="X913" s="9"/>
    </row>
    <row r="914" spans="10:24" ht="14" customHeight="1" x14ac:dyDescent="0.15">
      <c r="J914" s="9"/>
      <c r="X914" s="9"/>
    </row>
    <row r="915" spans="10:24" ht="14" customHeight="1" x14ac:dyDescent="0.15">
      <c r="J915" s="9"/>
      <c r="X915" s="9"/>
    </row>
    <row r="916" spans="10:24" ht="14" customHeight="1" x14ac:dyDescent="0.15">
      <c r="J916" s="9"/>
      <c r="X916" s="9"/>
    </row>
    <row r="917" spans="10:24" ht="14" customHeight="1" x14ac:dyDescent="0.15">
      <c r="J917" s="9"/>
      <c r="X917" s="9"/>
    </row>
    <row r="918" spans="10:24" ht="14" customHeight="1" x14ac:dyDescent="0.15">
      <c r="J918" s="9"/>
      <c r="X918" s="9"/>
    </row>
    <row r="919" spans="10:24" ht="14" customHeight="1" x14ac:dyDescent="0.15">
      <c r="J919" s="9"/>
      <c r="X919" s="9"/>
    </row>
    <row r="920" spans="10:24" ht="14" customHeight="1" x14ac:dyDescent="0.15">
      <c r="J920" s="9"/>
      <c r="X920" s="9"/>
    </row>
    <row r="921" spans="10:24" ht="14" customHeight="1" x14ac:dyDescent="0.15">
      <c r="J921" s="9"/>
      <c r="X921" s="9"/>
    </row>
    <row r="922" spans="10:24" ht="14" customHeight="1" x14ac:dyDescent="0.15">
      <c r="J922" s="9"/>
      <c r="X922" s="9"/>
    </row>
    <row r="923" spans="10:24" ht="14" customHeight="1" x14ac:dyDescent="0.15">
      <c r="J923" s="9"/>
      <c r="X923" s="9"/>
    </row>
    <row r="924" spans="10:24" ht="14" customHeight="1" x14ac:dyDescent="0.15">
      <c r="J924" s="9"/>
      <c r="X924" s="9"/>
    </row>
    <row r="925" spans="10:24" ht="14" customHeight="1" x14ac:dyDescent="0.15">
      <c r="J925" s="9"/>
      <c r="X925" s="9"/>
    </row>
    <row r="926" spans="10:24" ht="14" customHeight="1" x14ac:dyDescent="0.15">
      <c r="J926" s="9"/>
      <c r="X926" s="9"/>
    </row>
    <row r="927" spans="10:24" ht="14" customHeight="1" x14ac:dyDescent="0.15">
      <c r="J927" s="9"/>
      <c r="X927" s="9"/>
    </row>
    <row r="928" spans="10:24" ht="14" customHeight="1" x14ac:dyDescent="0.15">
      <c r="J928" s="9"/>
      <c r="X928" s="9"/>
    </row>
    <row r="929" spans="10:24" ht="14" customHeight="1" x14ac:dyDescent="0.15">
      <c r="J929" s="9"/>
      <c r="X929" s="9"/>
    </row>
    <row r="930" spans="10:24" ht="14" customHeight="1" x14ac:dyDescent="0.15">
      <c r="J930" s="9"/>
      <c r="X930" s="9"/>
    </row>
    <row r="931" spans="10:24" ht="14" customHeight="1" x14ac:dyDescent="0.15">
      <c r="J931" s="9"/>
      <c r="X931" s="9"/>
    </row>
    <row r="932" spans="10:24" ht="14" customHeight="1" x14ac:dyDescent="0.15">
      <c r="J932" s="9"/>
      <c r="X932" s="9"/>
    </row>
    <row r="933" spans="10:24" ht="14" customHeight="1" x14ac:dyDescent="0.15">
      <c r="J933" s="9"/>
      <c r="X933" s="9"/>
    </row>
    <row r="934" spans="10:24" ht="14" customHeight="1" x14ac:dyDescent="0.15">
      <c r="J934" s="9"/>
      <c r="X934" s="9"/>
    </row>
    <row r="935" spans="10:24" ht="14" customHeight="1" x14ac:dyDescent="0.15">
      <c r="J935" s="9"/>
      <c r="X935" s="9"/>
    </row>
    <row r="936" spans="10:24" ht="14" customHeight="1" x14ac:dyDescent="0.15">
      <c r="J936" s="9"/>
      <c r="X936" s="9"/>
    </row>
    <row r="937" spans="10:24" ht="14" customHeight="1" x14ac:dyDescent="0.15">
      <c r="J937" s="9"/>
      <c r="X937" s="9"/>
    </row>
    <row r="938" spans="10:24" ht="14" customHeight="1" x14ac:dyDescent="0.15">
      <c r="J938" s="9"/>
      <c r="X938" s="9"/>
    </row>
    <row r="939" spans="10:24" ht="14" customHeight="1" x14ac:dyDescent="0.15">
      <c r="J939" s="9"/>
      <c r="X939" s="9"/>
    </row>
    <row r="940" spans="10:24" ht="14" customHeight="1" x14ac:dyDescent="0.15">
      <c r="J940" s="9"/>
      <c r="X940" s="9"/>
    </row>
    <row r="941" spans="10:24" ht="14" customHeight="1" x14ac:dyDescent="0.15">
      <c r="J941" s="9"/>
      <c r="X941" s="9"/>
    </row>
    <row r="942" spans="10:24" ht="14" customHeight="1" x14ac:dyDescent="0.15">
      <c r="J942" s="9"/>
      <c r="X942" s="9"/>
    </row>
    <row r="943" spans="10:24" ht="14" customHeight="1" x14ac:dyDescent="0.15">
      <c r="J943" s="9"/>
      <c r="X943" s="9"/>
    </row>
    <row r="944" spans="10:24" ht="14" customHeight="1" x14ac:dyDescent="0.15">
      <c r="J944" s="9"/>
      <c r="X944" s="9"/>
    </row>
    <row r="945" spans="10:24" ht="14" customHeight="1" x14ac:dyDescent="0.15">
      <c r="J945" s="9"/>
      <c r="X945" s="9"/>
    </row>
    <row r="946" spans="10:24" ht="14" customHeight="1" x14ac:dyDescent="0.15">
      <c r="J946" s="9"/>
      <c r="X946" s="9"/>
    </row>
    <row r="947" spans="10:24" ht="14" customHeight="1" x14ac:dyDescent="0.15">
      <c r="J947" s="9"/>
      <c r="X947" s="9"/>
    </row>
    <row r="948" spans="10:24" ht="14" customHeight="1" x14ac:dyDescent="0.15">
      <c r="J948" s="9"/>
      <c r="X948" s="9"/>
    </row>
    <row r="949" spans="10:24" ht="14" customHeight="1" x14ac:dyDescent="0.15">
      <c r="J949" s="9"/>
      <c r="X949" s="9"/>
    </row>
    <row r="950" spans="10:24" ht="14" customHeight="1" x14ac:dyDescent="0.15">
      <c r="J950" s="9"/>
      <c r="X950" s="9"/>
    </row>
    <row r="951" spans="10:24" ht="14" customHeight="1" x14ac:dyDescent="0.15">
      <c r="J951" s="9"/>
      <c r="X951" s="9"/>
    </row>
    <row r="952" spans="10:24" ht="14" customHeight="1" x14ac:dyDescent="0.15">
      <c r="J952" s="9"/>
      <c r="X952" s="9"/>
    </row>
    <row r="953" spans="10:24" ht="14" customHeight="1" x14ac:dyDescent="0.15">
      <c r="J953" s="9"/>
      <c r="X953" s="9"/>
    </row>
    <row r="954" spans="10:24" ht="14" customHeight="1" x14ac:dyDescent="0.15">
      <c r="J954" s="9"/>
      <c r="X954" s="9"/>
    </row>
    <row r="955" spans="10:24" ht="14" customHeight="1" x14ac:dyDescent="0.15">
      <c r="J955" s="9"/>
      <c r="X955" s="9"/>
    </row>
    <row r="956" spans="10:24" ht="14" customHeight="1" x14ac:dyDescent="0.15">
      <c r="J956" s="9"/>
      <c r="X956" s="9"/>
    </row>
    <row r="957" spans="10:24" ht="14" customHeight="1" x14ac:dyDescent="0.15">
      <c r="J957" s="9"/>
      <c r="X957" s="9"/>
    </row>
    <row r="958" spans="10:24" ht="14" customHeight="1" x14ac:dyDescent="0.15">
      <c r="J958" s="9"/>
      <c r="X958" s="9"/>
    </row>
    <row r="959" spans="10:24" ht="14" customHeight="1" x14ac:dyDescent="0.15">
      <c r="J959" s="9"/>
      <c r="X959" s="9"/>
    </row>
    <row r="960" spans="10:24" ht="14" customHeight="1" x14ac:dyDescent="0.15">
      <c r="J960" s="9"/>
      <c r="X960" s="9"/>
    </row>
    <row r="961" spans="10:24" ht="14" customHeight="1" x14ac:dyDescent="0.15">
      <c r="J961" s="9"/>
      <c r="X961" s="9"/>
    </row>
    <row r="962" spans="10:24" ht="14" customHeight="1" x14ac:dyDescent="0.15">
      <c r="J962" s="9"/>
      <c r="X962" s="9"/>
    </row>
    <row r="963" spans="10:24" ht="14" customHeight="1" x14ac:dyDescent="0.15">
      <c r="J963" s="9"/>
      <c r="X963" s="9"/>
    </row>
    <row r="964" spans="10:24" ht="14" customHeight="1" x14ac:dyDescent="0.15">
      <c r="J964" s="9"/>
      <c r="X964" s="9"/>
    </row>
    <row r="965" spans="10:24" ht="14" customHeight="1" x14ac:dyDescent="0.15">
      <c r="J965" s="9"/>
      <c r="X965" s="9"/>
    </row>
    <row r="966" spans="10:24" ht="14" customHeight="1" x14ac:dyDescent="0.15">
      <c r="J966" s="9"/>
      <c r="X966" s="9"/>
    </row>
    <row r="967" spans="10:24" ht="14" customHeight="1" x14ac:dyDescent="0.15">
      <c r="J967" s="9"/>
      <c r="X967" s="9"/>
    </row>
    <row r="968" spans="10:24" ht="14" customHeight="1" x14ac:dyDescent="0.15">
      <c r="J968" s="9"/>
      <c r="X968" s="9"/>
    </row>
    <row r="969" spans="10:24" ht="14" customHeight="1" x14ac:dyDescent="0.15">
      <c r="J969" s="9"/>
      <c r="X969" s="9"/>
    </row>
    <row r="970" spans="10:24" ht="14" customHeight="1" x14ac:dyDescent="0.15">
      <c r="J970" s="9"/>
      <c r="X970" s="9"/>
    </row>
    <row r="971" spans="10:24" ht="14" customHeight="1" x14ac:dyDescent="0.15">
      <c r="J971" s="9"/>
      <c r="X971" s="9"/>
    </row>
    <row r="972" spans="10:24" ht="14" customHeight="1" x14ac:dyDescent="0.15">
      <c r="J972" s="9"/>
      <c r="X972" s="9"/>
    </row>
    <row r="973" spans="10:24" ht="14" customHeight="1" x14ac:dyDescent="0.15">
      <c r="J973" s="9"/>
      <c r="X973" s="9"/>
    </row>
    <row r="974" spans="10:24" ht="14" customHeight="1" x14ac:dyDescent="0.15">
      <c r="J974" s="9"/>
      <c r="X974" s="9"/>
    </row>
    <row r="975" spans="10:24" ht="14" customHeight="1" x14ac:dyDescent="0.15">
      <c r="J975" s="9"/>
      <c r="X975" s="9"/>
    </row>
    <row r="976" spans="10:24" ht="14" customHeight="1" x14ac:dyDescent="0.15">
      <c r="J976" s="9"/>
      <c r="X976" s="9"/>
    </row>
    <row r="977" spans="10:24" ht="14" customHeight="1" x14ac:dyDescent="0.15">
      <c r="J977" s="9"/>
      <c r="X977" s="9"/>
    </row>
    <row r="978" spans="10:24" ht="14" customHeight="1" x14ac:dyDescent="0.15">
      <c r="J978" s="9"/>
      <c r="X978" s="9"/>
    </row>
    <row r="979" spans="10:24" ht="14" customHeight="1" x14ac:dyDescent="0.15">
      <c r="J979" s="9"/>
      <c r="X979" s="9"/>
    </row>
    <row r="980" spans="10:24" ht="14" customHeight="1" x14ac:dyDescent="0.15">
      <c r="J980" s="9"/>
      <c r="X980" s="9"/>
    </row>
    <row r="981" spans="10:24" ht="14" customHeight="1" x14ac:dyDescent="0.15">
      <c r="J981" s="9"/>
      <c r="X981" s="9"/>
    </row>
    <row r="982" spans="10:24" ht="14" customHeight="1" x14ac:dyDescent="0.15">
      <c r="J982" s="9"/>
      <c r="X982" s="9"/>
    </row>
    <row r="983" spans="10:24" ht="14" customHeight="1" x14ac:dyDescent="0.15">
      <c r="J983" s="9"/>
      <c r="X983" s="9"/>
    </row>
    <row r="984" spans="10:24" ht="14" customHeight="1" x14ac:dyDescent="0.15">
      <c r="J984" s="9"/>
      <c r="X984" s="9"/>
    </row>
    <row r="985" spans="10:24" ht="14" customHeight="1" x14ac:dyDescent="0.15">
      <c r="J985" s="9"/>
      <c r="X985" s="9"/>
    </row>
    <row r="986" spans="10:24" ht="14" customHeight="1" x14ac:dyDescent="0.15">
      <c r="J986" s="9"/>
      <c r="X986" s="9"/>
    </row>
    <row r="987" spans="10:24" ht="14" customHeight="1" x14ac:dyDescent="0.15">
      <c r="J987" s="9"/>
      <c r="X987" s="9"/>
    </row>
    <row r="988" spans="10:24" ht="14" customHeight="1" x14ac:dyDescent="0.15">
      <c r="J988" s="9"/>
      <c r="X988" s="9"/>
    </row>
    <row r="989" spans="10:24" ht="14" customHeight="1" x14ac:dyDescent="0.15">
      <c r="J989" s="9"/>
      <c r="X989" s="9"/>
    </row>
    <row r="990" spans="10:24" ht="14" customHeight="1" x14ac:dyDescent="0.15">
      <c r="J990" s="9"/>
      <c r="X990" s="9"/>
    </row>
    <row r="991" spans="10:24" ht="14" customHeight="1" x14ac:dyDescent="0.15">
      <c r="J991" s="9"/>
      <c r="X991" s="9"/>
    </row>
    <row r="992" spans="10:24" ht="14" customHeight="1" x14ac:dyDescent="0.15">
      <c r="J992" s="9"/>
      <c r="X992" s="9"/>
    </row>
    <row r="993" spans="10:24" ht="14" customHeight="1" x14ac:dyDescent="0.15">
      <c r="J993" s="9"/>
      <c r="X993" s="9"/>
    </row>
    <row r="994" spans="10:24" ht="14" customHeight="1" x14ac:dyDescent="0.15">
      <c r="J994" s="9"/>
      <c r="X994" s="9"/>
    </row>
    <row r="995" spans="10:24" ht="14" customHeight="1" x14ac:dyDescent="0.15">
      <c r="J995" s="9"/>
      <c r="X995" s="9"/>
    </row>
    <row r="996" spans="10:24" ht="14" customHeight="1" x14ac:dyDescent="0.15">
      <c r="J996" s="9"/>
      <c r="X996" s="9"/>
    </row>
    <row r="997" spans="10:24" ht="14" customHeight="1" x14ac:dyDescent="0.15">
      <c r="J997" s="9"/>
      <c r="X997" s="9"/>
    </row>
    <row r="998" spans="10:24" ht="14" customHeight="1" x14ac:dyDescent="0.15">
      <c r="J998" s="9"/>
      <c r="X998" s="9"/>
    </row>
    <row r="999" spans="10:24" ht="14" customHeight="1" x14ac:dyDescent="0.15">
      <c r="J999" s="9"/>
      <c r="X999" s="9"/>
    </row>
    <row r="1000" spans="10:24" ht="14" customHeight="1" x14ac:dyDescent="0.15">
      <c r="J1000" s="9"/>
      <c r="X1000" s="9"/>
    </row>
    <row r="1001" spans="10:24" ht="14" customHeight="1" x14ac:dyDescent="0.15">
      <c r="J1001" s="9"/>
      <c r="X1001" s="9"/>
    </row>
    <row r="1002" spans="10:24" ht="14" customHeight="1" x14ac:dyDescent="0.15">
      <c r="J1002" s="9"/>
      <c r="X1002" s="9"/>
    </row>
    <row r="1003" spans="10:24" ht="14" customHeight="1" x14ac:dyDescent="0.15">
      <c r="J1003" s="9"/>
      <c r="X1003" s="9"/>
    </row>
    <row r="1004" spans="10:24" ht="14" customHeight="1" x14ac:dyDescent="0.15">
      <c r="J1004" s="9"/>
      <c r="X1004" s="9"/>
    </row>
    <row r="1005" spans="10:24" ht="14" customHeight="1" x14ac:dyDescent="0.15">
      <c r="J1005" s="9"/>
      <c r="X1005" s="9"/>
    </row>
    <row r="1006" spans="10:24" ht="14" customHeight="1" x14ac:dyDescent="0.15">
      <c r="J1006" s="9"/>
      <c r="X1006" s="9"/>
    </row>
    <row r="1007" spans="10:24" ht="14" customHeight="1" x14ac:dyDescent="0.15">
      <c r="J1007" s="9"/>
      <c r="X1007" s="9"/>
    </row>
    <row r="1008" spans="10:24" ht="14" customHeight="1" x14ac:dyDescent="0.15">
      <c r="J1008" s="9"/>
      <c r="X1008" s="9"/>
    </row>
    <row r="1009" spans="10:24" ht="14" customHeight="1" x14ac:dyDescent="0.15">
      <c r="J1009" s="9"/>
      <c r="X1009" s="9"/>
    </row>
    <row r="1010" spans="10:24" ht="14" customHeight="1" x14ac:dyDescent="0.15">
      <c r="J1010" s="9"/>
      <c r="X1010" s="9"/>
    </row>
    <row r="1011" spans="10:24" ht="14" customHeight="1" x14ac:dyDescent="0.15">
      <c r="J1011" s="9"/>
      <c r="X1011" s="9"/>
    </row>
    <row r="1012" spans="10:24" ht="14" customHeight="1" x14ac:dyDescent="0.15">
      <c r="J1012" s="9"/>
      <c r="X1012" s="9"/>
    </row>
    <row r="1013" spans="10:24" ht="14" customHeight="1" x14ac:dyDescent="0.15">
      <c r="J1013" s="9"/>
      <c r="X1013" s="9"/>
    </row>
    <row r="1014" spans="10:24" ht="14" customHeight="1" x14ac:dyDescent="0.15">
      <c r="J1014" s="9"/>
      <c r="X1014" s="9"/>
    </row>
    <row r="1015" spans="10:24" ht="14" customHeight="1" x14ac:dyDescent="0.15">
      <c r="J1015" s="9"/>
      <c r="X1015" s="9"/>
    </row>
    <row r="1016" spans="10:24" ht="14" customHeight="1" x14ac:dyDescent="0.15">
      <c r="J1016" s="9"/>
      <c r="X1016" s="9"/>
    </row>
    <row r="1017" spans="10:24" ht="14" customHeight="1" x14ac:dyDescent="0.15">
      <c r="J1017" s="9"/>
      <c r="X1017" s="9"/>
    </row>
    <row r="1018" spans="10:24" ht="14" customHeight="1" x14ac:dyDescent="0.15">
      <c r="J1018" s="9"/>
      <c r="X1018" s="9"/>
    </row>
    <row r="1019" spans="10:24" ht="14" customHeight="1" x14ac:dyDescent="0.15">
      <c r="J1019" s="9"/>
      <c r="X1019" s="9"/>
    </row>
    <row r="1020" spans="10:24" ht="14" customHeight="1" x14ac:dyDescent="0.15">
      <c r="J1020" s="9"/>
      <c r="X1020" s="9"/>
    </row>
    <row r="1021" spans="10:24" ht="14" customHeight="1" x14ac:dyDescent="0.15">
      <c r="J1021" s="9"/>
      <c r="X1021" s="9"/>
    </row>
    <row r="1022" spans="10:24" ht="14" customHeight="1" x14ac:dyDescent="0.15">
      <c r="J1022" s="9"/>
      <c r="X1022" s="9"/>
    </row>
    <row r="1023" spans="10:24" ht="14" customHeight="1" x14ac:dyDescent="0.15">
      <c r="J1023" s="9"/>
      <c r="X1023" s="9"/>
    </row>
    <row r="1024" spans="10:24" ht="14" customHeight="1" x14ac:dyDescent="0.15">
      <c r="J1024" s="9"/>
      <c r="X1024" s="9"/>
    </row>
    <row r="1025" spans="10:24" ht="14" customHeight="1" x14ac:dyDescent="0.15">
      <c r="J1025" s="9"/>
      <c r="X1025" s="9"/>
    </row>
    <row r="1026" spans="10:24" ht="14" customHeight="1" x14ac:dyDescent="0.15">
      <c r="J1026" s="9"/>
      <c r="X1026" s="9"/>
    </row>
    <row r="1027" spans="10:24" ht="14" customHeight="1" x14ac:dyDescent="0.15">
      <c r="J1027" s="9"/>
      <c r="X1027" s="9"/>
    </row>
    <row r="1028" spans="10:24" ht="14" customHeight="1" x14ac:dyDescent="0.15">
      <c r="J1028" s="9"/>
      <c r="X1028" s="9"/>
    </row>
    <row r="1029" spans="10:24" ht="14" customHeight="1" x14ac:dyDescent="0.15">
      <c r="J1029" s="9"/>
      <c r="X1029" s="9"/>
    </row>
    <row r="1030" spans="10:24" ht="14" customHeight="1" x14ac:dyDescent="0.15">
      <c r="J1030" s="9"/>
      <c r="X1030" s="9"/>
    </row>
    <row r="1031" spans="10:24" ht="14" customHeight="1" x14ac:dyDescent="0.15">
      <c r="J1031" s="9"/>
      <c r="X1031" s="9"/>
    </row>
    <row r="1032" spans="10:24" ht="14" customHeight="1" x14ac:dyDescent="0.15">
      <c r="J1032" s="9"/>
      <c r="X1032" s="9"/>
    </row>
    <row r="1033" spans="10:24" ht="14" customHeight="1" x14ac:dyDescent="0.15">
      <c r="J1033" s="9"/>
      <c r="X1033" s="9"/>
    </row>
    <row r="1034" spans="10:24" ht="14" customHeight="1" x14ac:dyDescent="0.15">
      <c r="J1034" s="9"/>
      <c r="X1034" s="9"/>
    </row>
    <row r="1035" spans="10:24" ht="14" customHeight="1" x14ac:dyDescent="0.15">
      <c r="J1035" s="9"/>
      <c r="X1035" s="9"/>
    </row>
    <row r="1036" spans="10:24" ht="14" customHeight="1" x14ac:dyDescent="0.15">
      <c r="J1036" s="9"/>
      <c r="X1036" s="9"/>
    </row>
    <row r="1037" spans="10:24" ht="14" customHeight="1" x14ac:dyDescent="0.15">
      <c r="J1037" s="9"/>
      <c r="X1037" s="9"/>
    </row>
    <row r="1038" spans="10:24" ht="14" customHeight="1" x14ac:dyDescent="0.15">
      <c r="J1038" s="9"/>
      <c r="X1038" s="9"/>
    </row>
    <row r="1039" spans="10:24" ht="14" customHeight="1" x14ac:dyDescent="0.15">
      <c r="J1039" s="9"/>
      <c r="X1039" s="9"/>
    </row>
    <row r="1040" spans="10:24" ht="14" customHeight="1" x14ac:dyDescent="0.15">
      <c r="J1040" s="9"/>
      <c r="X1040" s="9"/>
    </row>
    <row r="1041" spans="10:24" ht="14" customHeight="1" x14ac:dyDescent="0.15">
      <c r="J1041" s="9"/>
      <c r="X1041" s="9"/>
    </row>
    <row r="1042" spans="10:24" ht="14" customHeight="1" x14ac:dyDescent="0.15">
      <c r="J1042" s="9"/>
      <c r="X1042" s="9"/>
    </row>
    <row r="1043" spans="10:24" ht="14" customHeight="1" x14ac:dyDescent="0.15">
      <c r="J1043" s="9"/>
      <c r="X1043" s="9"/>
    </row>
    <row r="1044" spans="10:24" ht="14" customHeight="1" x14ac:dyDescent="0.15">
      <c r="J1044" s="9"/>
      <c r="X1044" s="9"/>
    </row>
    <row r="1045" spans="10:24" ht="14" customHeight="1" x14ac:dyDescent="0.15">
      <c r="J1045" s="9"/>
      <c r="X1045" s="9"/>
    </row>
    <row r="1046" spans="10:24" ht="14" customHeight="1" x14ac:dyDescent="0.15">
      <c r="J1046" s="9"/>
      <c r="X1046" s="9"/>
    </row>
    <row r="1047" spans="10:24" ht="14" customHeight="1" x14ac:dyDescent="0.15">
      <c r="J1047" s="9"/>
      <c r="X1047" s="9"/>
    </row>
    <row r="1048" spans="10:24" ht="14" customHeight="1" x14ac:dyDescent="0.15">
      <c r="J1048" s="9"/>
      <c r="X1048" s="9"/>
    </row>
    <row r="1049" spans="10:24" ht="14" customHeight="1" x14ac:dyDescent="0.15">
      <c r="J1049" s="9"/>
      <c r="X1049" s="9"/>
    </row>
    <row r="1050" spans="10:24" ht="14" customHeight="1" x14ac:dyDescent="0.15">
      <c r="J1050" s="9"/>
      <c r="X1050" s="9"/>
    </row>
    <row r="1051" spans="10:24" ht="14" customHeight="1" x14ac:dyDescent="0.15">
      <c r="J1051" s="9"/>
      <c r="X1051" s="9"/>
    </row>
    <row r="1052" spans="10:24" ht="14" customHeight="1" x14ac:dyDescent="0.15">
      <c r="J1052" s="9"/>
      <c r="X1052" s="9"/>
    </row>
    <row r="1053" spans="10:24" ht="14" customHeight="1" x14ac:dyDescent="0.15">
      <c r="J1053" s="9"/>
      <c r="X1053" s="9"/>
    </row>
    <row r="1054" spans="10:24" ht="14" customHeight="1" x14ac:dyDescent="0.15">
      <c r="J1054" s="9"/>
      <c r="X1054" s="9"/>
    </row>
    <row r="1055" spans="10:24" ht="14" customHeight="1" x14ac:dyDescent="0.15">
      <c r="J1055" s="9"/>
      <c r="X1055" s="9"/>
    </row>
    <row r="1056" spans="10:24" ht="14" customHeight="1" x14ac:dyDescent="0.15">
      <c r="J1056" s="9"/>
      <c r="X1056" s="9"/>
    </row>
    <row r="1057" spans="10:24" ht="14" customHeight="1" x14ac:dyDescent="0.15">
      <c r="J1057" s="9"/>
      <c r="X1057" s="9"/>
    </row>
    <row r="1058" spans="10:24" ht="14" customHeight="1" x14ac:dyDescent="0.15">
      <c r="J1058" s="9"/>
      <c r="X1058" s="9"/>
    </row>
    <row r="1059" spans="10:24" ht="14" customHeight="1" x14ac:dyDescent="0.15">
      <c r="J1059" s="9"/>
      <c r="X1059" s="9"/>
    </row>
    <row r="1060" spans="10:24" ht="14" customHeight="1" x14ac:dyDescent="0.15">
      <c r="J1060" s="9"/>
      <c r="X1060" s="9"/>
    </row>
    <row r="1061" spans="10:24" ht="14" customHeight="1" x14ac:dyDescent="0.15">
      <c r="J1061" s="9"/>
      <c r="X1061" s="9"/>
    </row>
    <row r="1062" spans="10:24" ht="14" customHeight="1" x14ac:dyDescent="0.15">
      <c r="J1062" s="9"/>
      <c r="X1062" s="9"/>
    </row>
    <row r="1063" spans="10:24" ht="14" customHeight="1" x14ac:dyDescent="0.15">
      <c r="J1063" s="9"/>
      <c r="X1063" s="9"/>
    </row>
    <row r="1064" spans="10:24" ht="14" customHeight="1" x14ac:dyDescent="0.15">
      <c r="J1064" s="9"/>
      <c r="X1064" s="9"/>
    </row>
    <row r="1065" spans="10:24" ht="14" customHeight="1" x14ac:dyDescent="0.15">
      <c r="J1065" s="9"/>
      <c r="X1065" s="9"/>
    </row>
    <row r="1066" spans="10:24" ht="14" customHeight="1" x14ac:dyDescent="0.15">
      <c r="J1066" s="9"/>
      <c r="X1066" s="9"/>
    </row>
    <row r="1067" spans="10:24" ht="14" customHeight="1" x14ac:dyDescent="0.15">
      <c r="J1067" s="9"/>
      <c r="X1067" s="9"/>
    </row>
    <row r="1068" spans="10:24" ht="14" customHeight="1" x14ac:dyDescent="0.15">
      <c r="J1068" s="9"/>
      <c r="X1068" s="9"/>
    </row>
    <row r="1069" spans="10:24" ht="14" customHeight="1" x14ac:dyDescent="0.15">
      <c r="J1069" s="9"/>
      <c r="X1069" s="9"/>
    </row>
    <row r="1070" spans="10:24" ht="14" customHeight="1" x14ac:dyDescent="0.15">
      <c r="J1070" s="9"/>
      <c r="X1070" s="9"/>
    </row>
    <row r="1071" spans="10:24" ht="14" customHeight="1" x14ac:dyDescent="0.15">
      <c r="J1071" s="9"/>
      <c r="X1071" s="9"/>
    </row>
    <row r="1072" spans="10:24" ht="14" customHeight="1" x14ac:dyDescent="0.15">
      <c r="J1072" s="9"/>
      <c r="X1072" s="9"/>
    </row>
    <row r="1073" spans="10:24" ht="14" customHeight="1" x14ac:dyDescent="0.15">
      <c r="J1073" s="9"/>
      <c r="X1073" s="9"/>
    </row>
    <row r="1074" spans="10:24" ht="14" customHeight="1" x14ac:dyDescent="0.15">
      <c r="J1074" s="9"/>
      <c r="X1074" s="9"/>
    </row>
    <row r="1075" spans="10:24" ht="14" customHeight="1" x14ac:dyDescent="0.15">
      <c r="J1075" s="9"/>
      <c r="X1075" s="9"/>
    </row>
    <row r="1076" spans="10:24" ht="14" customHeight="1" x14ac:dyDescent="0.15">
      <c r="J1076" s="9"/>
      <c r="X1076" s="9"/>
    </row>
    <row r="1077" spans="10:24" ht="14" customHeight="1" x14ac:dyDescent="0.15">
      <c r="J1077" s="9"/>
      <c r="X1077" s="9"/>
    </row>
    <row r="1078" spans="10:24" ht="14" customHeight="1" x14ac:dyDescent="0.15">
      <c r="J1078" s="9"/>
      <c r="X1078" s="9"/>
    </row>
    <row r="1079" spans="10:24" ht="14" customHeight="1" x14ac:dyDescent="0.15">
      <c r="J1079" s="9"/>
      <c r="X1079" s="9"/>
    </row>
    <row r="1080" spans="10:24" ht="14" customHeight="1" x14ac:dyDescent="0.15">
      <c r="J1080" s="9"/>
      <c r="X1080" s="9"/>
    </row>
    <row r="1081" spans="10:24" ht="14" customHeight="1" x14ac:dyDescent="0.15">
      <c r="J1081" s="9"/>
      <c r="X1081" s="9"/>
    </row>
    <row r="1082" spans="10:24" ht="14" customHeight="1" x14ac:dyDescent="0.15">
      <c r="J1082" s="9"/>
      <c r="X1082" s="9"/>
    </row>
    <row r="1083" spans="10:24" ht="14" customHeight="1" x14ac:dyDescent="0.15">
      <c r="J1083" s="9"/>
      <c r="X1083" s="9"/>
    </row>
    <row r="1084" spans="10:24" ht="14" customHeight="1" x14ac:dyDescent="0.15">
      <c r="J1084" s="9"/>
      <c r="X1084" s="9"/>
    </row>
    <row r="1085" spans="10:24" ht="14" customHeight="1" x14ac:dyDescent="0.15">
      <c r="J1085" s="9"/>
      <c r="X1085" s="9"/>
    </row>
    <row r="1086" spans="10:24" ht="14" customHeight="1" x14ac:dyDescent="0.15">
      <c r="J1086" s="9"/>
      <c r="X1086" s="9"/>
    </row>
    <row r="1087" spans="10:24" ht="14" customHeight="1" x14ac:dyDescent="0.15">
      <c r="J1087" s="9"/>
      <c r="X1087" s="9"/>
    </row>
    <row r="1088" spans="10:24" ht="14" customHeight="1" x14ac:dyDescent="0.15">
      <c r="J1088" s="9"/>
      <c r="X1088" s="9"/>
    </row>
    <row r="1089" spans="10:24" ht="14" customHeight="1" x14ac:dyDescent="0.15">
      <c r="J1089" s="9"/>
      <c r="X1089" s="9"/>
    </row>
    <row r="1090" spans="10:24" ht="14" customHeight="1" x14ac:dyDescent="0.15">
      <c r="J1090" s="9"/>
      <c r="X1090" s="9"/>
    </row>
    <row r="1091" spans="10:24" ht="14" customHeight="1" x14ac:dyDescent="0.15">
      <c r="J1091" s="9"/>
      <c r="X1091" s="9"/>
    </row>
    <row r="1092" spans="10:24" ht="14" customHeight="1" x14ac:dyDescent="0.15">
      <c r="J1092" s="9"/>
      <c r="X1092" s="9"/>
    </row>
    <row r="1093" spans="10:24" ht="14" customHeight="1" x14ac:dyDescent="0.15">
      <c r="J1093" s="9"/>
      <c r="X1093" s="9"/>
    </row>
    <row r="1094" spans="10:24" ht="14" customHeight="1" x14ac:dyDescent="0.15">
      <c r="J1094" s="9"/>
      <c r="X1094" s="9"/>
    </row>
    <row r="1095" spans="10:24" ht="14" customHeight="1" x14ac:dyDescent="0.15">
      <c r="J1095" s="9"/>
      <c r="X1095" s="9"/>
    </row>
    <row r="1096" spans="10:24" ht="14" customHeight="1" x14ac:dyDescent="0.15">
      <c r="J1096" s="9"/>
      <c r="X1096" s="9"/>
    </row>
    <row r="1097" spans="10:24" ht="14" customHeight="1" x14ac:dyDescent="0.15">
      <c r="J1097" s="9"/>
      <c r="X1097" s="9"/>
    </row>
    <row r="1098" spans="10:24" ht="14" customHeight="1" x14ac:dyDescent="0.15">
      <c r="J1098" s="9"/>
      <c r="X1098" s="9"/>
    </row>
    <row r="1099" spans="10:24" ht="14" customHeight="1" x14ac:dyDescent="0.15">
      <c r="J1099" s="9"/>
      <c r="X1099" s="9"/>
    </row>
    <row r="1100" spans="10:24" ht="14" customHeight="1" x14ac:dyDescent="0.15">
      <c r="J1100" s="9"/>
      <c r="X1100" s="9"/>
    </row>
    <row r="1101" spans="10:24" ht="14" customHeight="1" x14ac:dyDescent="0.15">
      <c r="J1101" s="9"/>
      <c r="X1101" s="9"/>
    </row>
    <row r="1102" spans="10:24" ht="14" customHeight="1" x14ac:dyDescent="0.15">
      <c r="J1102" s="9"/>
      <c r="X1102" s="9"/>
    </row>
    <row r="1103" spans="10:24" ht="14" customHeight="1" x14ac:dyDescent="0.15">
      <c r="J1103" s="9"/>
      <c r="X1103" s="9"/>
    </row>
    <row r="1104" spans="10:24" ht="14" customHeight="1" x14ac:dyDescent="0.15">
      <c r="J1104" s="9"/>
      <c r="X1104" s="9"/>
    </row>
    <row r="1105" spans="10:24" ht="14" customHeight="1" x14ac:dyDescent="0.15">
      <c r="J1105" s="9"/>
      <c r="X1105" s="9"/>
    </row>
    <row r="1106" spans="10:24" ht="14" customHeight="1" x14ac:dyDescent="0.15">
      <c r="J1106" s="9"/>
      <c r="X1106" s="9"/>
    </row>
    <row r="1107" spans="10:24" ht="14" customHeight="1" x14ac:dyDescent="0.15">
      <c r="J1107" s="9"/>
      <c r="X1107" s="9"/>
    </row>
    <row r="1108" spans="10:24" ht="14" customHeight="1" x14ac:dyDescent="0.15">
      <c r="J1108" s="9"/>
      <c r="X1108" s="9"/>
    </row>
    <row r="1109" spans="10:24" ht="14" customHeight="1" x14ac:dyDescent="0.15">
      <c r="J1109" s="9"/>
      <c r="X1109" s="9"/>
    </row>
    <row r="1110" spans="10:24" ht="14" customHeight="1" x14ac:dyDescent="0.15">
      <c r="J1110" s="9"/>
      <c r="X1110" s="9"/>
    </row>
    <row r="1111" spans="10:24" ht="14" customHeight="1" x14ac:dyDescent="0.15">
      <c r="J1111" s="9"/>
      <c r="X1111" s="9"/>
    </row>
    <row r="1112" spans="10:24" ht="14" customHeight="1" x14ac:dyDescent="0.15">
      <c r="J1112" s="9"/>
      <c r="X1112" s="9"/>
    </row>
    <row r="1113" spans="10:24" ht="14" customHeight="1" x14ac:dyDescent="0.15">
      <c r="J1113" s="9"/>
      <c r="X1113" s="9"/>
    </row>
    <row r="1114" spans="10:24" ht="14" customHeight="1" x14ac:dyDescent="0.15">
      <c r="J1114" s="9"/>
      <c r="X1114" s="9"/>
    </row>
    <row r="1115" spans="10:24" ht="14" customHeight="1" x14ac:dyDescent="0.15">
      <c r="J1115" s="9"/>
      <c r="X1115" s="9"/>
    </row>
    <row r="1116" spans="10:24" ht="14" customHeight="1" x14ac:dyDescent="0.15">
      <c r="J1116" s="9"/>
      <c r="X1116" s="9"/>
    </row>
    <row r="1117" spans="10:24" ht="14" customHeight="1" x14ac:dyDescent="0.15">
      <c r="J1117" s="9"/>
      <c r="X1117" s="9"/>
    </row>
    <row r="1118" spans="10:24" ht="14" customHeight="1" x14ac:dyDescent="0.15">
      <c r="J1118" s="9"/>
      <c r="X1118" s="9"/>
    </row>
    <row r="1119" spans="10:24" ht="14" customHeight="1" x14ac:dyDescent="0.15">
      <c r="J1119" s="9"/>
      <c r="X1119" s="9"/>
    </row>
    <row r="1120" spans="10:24" ht="14" customHeight="1" x14ac:dyDescent="0.15">
      <c r="J1120" s="9"/>
      <c r="X1120" s="9"/>
    </row>
    <row r="1121" spans="10:24" ht="14" customHeight="1" x14ac:dyDescent="0.15">
      <c r="J1121" s="9"/>
      <c r="X1121" s="9"/>
    </row>
    <row r="1122" spans="10:24" ht="14" customHeight="1" x14ac:dyDescent="0.15">
      <c r="J1122" s="9"/>
      <c r="X1122" s="9"/>
    </row>
    <row r="1123" spans="10:24" ht="14" customHeight="1" x14ac:dyDescent="0.15">
      <c r="J1123" s="9"/>
      <c r="X1123" s="9"/>
    </row>
    <row r="1124" spans="10:24" ht="14" customHeight="1" x14ac:dyDescent="0.15">
      <c r="J1124" s="9"/>
      <c r="X1124" s="9"/>
    </row>
    <row r="1125" spans="10:24" ht="14" customHeight="1" x14ac:dyDescent="0.15">
      <c r="J1125" s="9"/>
      <c r="X1125" s="9"/>
    </row>
    <row r="1126" spans="10:24" ht="14" customHeight="1" x14ac:dyDescent="0.15">
      <c r="J1126" s="9"/>
      <c r="X1126" s="9"/>
    </row>
    <row r="1127" spans="10:24" ht="14" customHeight="1" x14ac:dyDescent="0.15">
      <c r="J1127" s="9"/>
      <c r="X1127" s="9"/>
    </row>
    <row r="1128" spans="10:24" ht="14" customHeight="1" x14ac:dyDescent="0.15">
      <c r="J1128" s="9"/>
      <c r="X1128" s="9"/>
    </row>
    <row r="1129" spans="10:24" ht="14" customHeight="1" x14ac:dyDescent="0.15">
      <c r="J1129" s="9"/>
      <c r="X1129" s="9"/>
    </row>
    <row r="1130" spans="10:24" ht="14" customHeight="1" x14ac:dyDescent="0.15">
      <c r="J1130" s="9"/>
      <c r="X1130" s="9"/>
    </row>
    <row r="1131" spans="10:24" ht="14" customHeight="1" x14ac:dyDescent="0.15">
      <c r="J1131" s="9"/>
      <c r="X1131" s="9"/>
    </row>
    <row r="1132" spans="10:24" ht="14" customHeight="1" x14ac:dyDescent="0.15">
      <c r="J1132" s="9"/>
      <c r="X1132" s="9"/>
    </row>
    <row r="1133" spans="10:24" ht="14" customHeight="1" x14ac:dyDescent="0.15">
      <c r="J1133" s="9"/>
      <c r="X1133" s="9"/>
    </row>
    <row r="1134" spans="10:24" ht="14" customHeight="1" x14ac:dyDescent="0.15">
      <c r="J1134" s="9"/>
      <c r="X1134" s="9"/>
    </row>
    <row r="1135" spans="10:24" ht="14" customHeight="1" x14ac:dyDescent="0.15">
      <c r="J1135" s="9"/>
      <c r="X1135" s="9"/>
    </row>
    <row r="1136" spans="10:24" ht="14" customHeight="1" x14ac:dyDescent="0.15">
      <c r="J1136" s="9"/>
      <c r="X1136" s="9"/>
    </row>
    <row r="1137" spans="10:24" ht="14" customHeight="1" x14ac:dyDescent="0.15">
      <c r="J1137" s="9"/>
      <c r="X1137" s="9"/>
    </row>
    <row r="1138" spans="10:24" ht="14" customHeight="1" x14ac:dyDescent="0.15">
      <c r="J1138" s="9"/>
      <c r="X1138" s="9"/>
    </row>
    <row r="1139" spans="10:24" ht="14" customHeight="1" x14ac:dyDescent="0.15">
      <c r="J1139" s="9"/>
      <c r="X1139" s="9"/>
    </row>
    <row r="1140" spans="10:24" ht="14" customHeight="1" x14ac:dyDescent="0.15">
      <c r="J1140" s="9"/>
      <c r="X1140" s="9"/>
    </row>
    <row r="1141" spans="10:24" ht="14" customHeight="1" x14ac:dyDescent="0.15">
      <c r="J1141" s="9"/>
      <c r="X1141" s="9"/>
    </row>
    <row r="1142" spans="10:24" ht="14" customHeight="1" x14ac:dyDescent="0.15">
      <c r="J1142" s="9"/>
      <c r="X1142" s="9"/>
    </row>
    <row r="1143" spans="10:24" ht="14" customHeight="1" x14ac:dyDescent="0.15">
      <c r="J1143" s="9"/>
      <c r="X1143" s="9"/>
    </row>
    <row r="1144" spans="10:24" ht="14" customHeight="1" x14ac:dyDescent="0.15">
      <c r="J1144" s="9"/>
      <c r="X1144" s="9"/>
    </row>
    <row r="1145" spans="10:24" ht="14" customHeight="1" x14ac:dyDescent="0.15">
      <c r="J1145" s="9"/>
      <c r="X1145" s="9"/>
    </row>
    <row r="1146" spans="10:24" ht="14" customHeight="1" x14ac:dyDescent="0.15">
      <c r="J1146" s="9"/>
      <c r="X1146" s="9"/>
    </row>
    <row r="1147" spans="10:24" ht="14" customHeight="1" x14ac:dyDescent="0.15">
      <c r="J1147" s="9"/>
      <c r="X1147" s="9"/>
    </row>
    <row r="1148" spans="10:24" ht="14" customHeight="1" x14ac:dyDescent="0.15">
      <c r="J1148" s="9"/>
      <c r="X1148" s="9"/>
    </row>
    <row r="1149" spans="10:24" ht="14" customHeight="1" x14ac:dyDescent="0.15">
      <c r="J1149" s="9"/>
      <c r="X1149" s="9"/>
    </row>
    <row r="1150" spans="10:24" ht="14" customHeight="1" x14ac:dyDescent="0.15">
      <c r="J1150" s="9"/>
      <c r="X1150" s="9"/>
    </row>
    <row r="1151" spans="10:24" ht="14" customHeight="1" x14ac:dyDescent="0.15">
      <c r="J1151" s="9"/>
      <c r="X1151" s="9"/>
    </row>
    <row r="1152" spans="10:24" ht="14" customHeight="1" x14ac:dyDescent="0.15">
      <c r="J1152" s="9"/>
      <c r="X1152" s="9"/>
    </row>
    <row r="1153" spans="10:24" ht="14" customHeight="1" x14ac:dyDescent="0.15">
      <c r="J1153" s="9"/>
      <c r="X1153" s="9"/>
    </row>
    <row r="1154" spans="10:24" ht="14" customHeight="1" x14ac:dyDescent="0.15">
      <c r="J1154" s="9"/>
      <c r="X1154" s="9"/>
    </row>
    <row r="1155" spans="10:24" ht="14" customHeight="1" x14ac:dyDescent="0.15">
      <c r="J1155" s="9"/>
      <c r="X1155" s="9"/>
    </row>
    <row r="1156" spans="10:24" ht="14" customHeight="1" x14ac:dyDescent="0.15">
      <c r="J1156" s="9"/>
      <c r="X1156" s="9"/>
    </row>
    <row r="1157" spans="10:24" ht="14" customHeight="1" x14ac:dyDescent="0.15">
      <c r="J1157" s="9"/>
      <c r="X1157" s="9"/>
    </row>
    <row r="1158" spans="10:24" ht="14" customHeight="1" x14ac:dyDescent="0.15">
      <c r="J1158" s="9"/>
      <c r="X1158" s="9"/>
    </row>
    <row r="1159" spans="10:24" ht="14" customHeight="1" x14ac:dyDescent="0.15">
      <c r="J1159" s="9"/>
      <c r="X1159" s="9"/>
    </row>
    <row r="1160" spans="10:24" ht="14" customHeight="1" x14ac:dyDescent="0.15">
      <c r="J1160" s="9"/>
      <c r="X1160" s="9"/>
    </row>
    <row r="1161" spans="10:24" ht="14" customHeight="1" x14ac:dyDescent="0.15">
      <c r="J1161" s="9"/>
      <c r="X1161" s="9"/>
    </row>
    <row r="1162" spans="10:24" ht="14" customHeight="1" x14ac:dyDescent="0.15">
      <c r="J1162" s="9"/>
      <c r="X1162" s="9"/>
    </row>
    <row r="1163" spans="10:24" ht="14" customHeight="1" x14ac:dyDescent="0.15">
      <c r="J1163" s="9"/>
      <c r="X1163" s="9"/>
    </row>
    <row r="1164" spans="10:24" ht="14" customHeight="1" x14ac:dyDescent="0.15">
      <c r="J1164" s="9"/>
      <c r="X1164" s="9"/>
    </row>
    <row r="1165" spans="10:24" ht="14" customHeight="1" x14ac:dyDescent="0.15">
      <c r="J1165" s="9"/>
      <c r="X1165" s="9"/>
    </row>
    <row r="1166" spans="10:24" ht="14" customHeight="1" x14ac:dyDescent="0.15">
      <c r="J1166" s="9"/>
      <c r="X1166" s="9"/>
    </row>
    <row r="1167" spans="10:24" ht="14" customHeight="1" x14ac:dyDescent="0.15">
      <c r="J1167" s="9"/>
      <c r="X1167" s="9"/>
    </row>
    <row r="1168" spans="10:24" ht="14" customHeight="1" x14ac:dyDescent="0.15">
      <c r="J1168" s="9"/>
      <c r="X1168" s="9"/>
    </row>
    <row r="1169" spans="10:24" ht="14" customHeight="1" x14ac:dyDescent="0.15">
      <c r="J1169" s="9"/>
      <c r="X1169" s="9"/>
    </row>
    <row r="1170" spans="10:24" ht="14" customHeight="1" x14ac:dyDescent="0.15">
      <c r="J1170" s="9"/>
      <c r="X1170" s="9"/>
    </row>
    <row r="1171" spans="10:24" ht="14" customHeight="1" x14ac:dyDescent="0.15">
      <c r="J1171" s="9"/>
      <c r="X1171" s="9"/>
    </row>
    <row r="1172" spans="10:24" ht="14" customHeight="1" x14ac:dyDescent="0.15">
      <c r="J1172" s="9"/>
      <c r="X1172" s="9"/>
    </row>
    <row r="1173" spans="10:24" ht="14" customHeight="1" x14ac:dyDescent="0.15">
      <c r="J1173" s="9"/>
      <c r="X1173" s="9"/>
    </row>
    <row r="1174" spans="10:24" ht="14" customHeight="1" x14ac:dyDescent="0.15">
      <c r="J1174" s="9"/>
      <c r="X1174" s="9"/>
    </row>
    <row r="1175" spans="10:24" ht="14" customHeight="1" x14ac:dyDescent="0.15">
      <c r="J1175" s="9"/>
      <c r="X1175" s="9"/>
    </row>
    <row r="1176" spans="10:24" ht="14" customHeight="1" x14ac:dyDescent="0.15">
      <c r="J1176" s="9"/>
      <c r="X1176" s="9"/>
    </row>
    <row r="1177" spans="10:24" ht="14" customHeight="1" x14ac:dyDescent="0.15">
      <c r="J1177" s="9"/>
      <c r="X1177" s="9"/>
    </row>
    <row r="1178" spans="10:24" ht="14" customHeight="1" x14ac:dyDescent="0.15">
      <c r="J1178" s="9"/>
      <c r="X1178" s="9"/>
    </row>
    <row r="1179" spans="10:24" ht="14" customHeight="1" x14ac:dyDescent="0.15">
      <c r="J1179" s="9"/>
      <c r="X1179" s="9"/>
    </row>
    <row r="1180" spans="10:24" ht="14" customHeight="1" x14ac:dyDescent="0.15">
      <c r="J1180" s="9"/>
      <c r="X1180" s="9"/>
    </row>
    <row r="1181" spans="10:24" ht="14" customHeight="1" x14ac:dyDescent="0.15">
      <c r="J1181" s="9"/>
      <c r="X1181" s="9"/>
    </row>
    <row r="1182" spans="10:24" ht="14" customHeight="1" x14ac:dyDescent="0.15">
      <c r="J1182" s="9"/>
      <c r="X1182" s="9"/>
    </row>
    <row r="1183" spans="10:24" ht="14" customHeight="1" x14ac:dyDescent="0.15">
      <c r="J1183" s="9"/>
      <c r="X1183" s="9"/>
    </row>
    <row r="1184" spans="10:24" ht="14" customHeight="1" x14ac:dyDescent="0.15">
      <c r="J1184" s="9"/>
      <c r="X1184" s="9"/>
    </row>
    <row r="1185" spans="10:24" ht="14" customHeight="1" x14ac:dyDescent="0.15">
      <c r="J1185" s="9"/>
      <c r="X1185" s="9"/>
    </row>
    <row r="1186" spans="10:24" ht="14" customHeight="1" x14ac:dyDescent="0.15">
      <c r="J1186" s="9"/>
      <c r="X1186" s="9"/>
    </row>
    <row r="1187" spans="10:24" ht="14" customHeight="1" x14ac:dyDescent="0.15">
      <c r="J1187" s="9"/>
      <c r="X1187" s="9"/>
    </row>
    <row r="1188" spans="10:24" ht="14" customHeight="1" x14ac:dyDescent="0.15">
      <c r="J1188" s="9"/>
      <c r="X1188" s="9"/>
    </row>
    <row r="1189" spans="10:24" ht="14" customHeight="1" x14ac:dyDescent="0.15">
      <c r="J1189" s="9"/>
      <c r="X1189" s="9"/>
    </row>
    <row r="1190" spans="10:24" ht="14" customHeight="1" x14ac:dyDescent="0.15">
      <c r="J1190" s="9"/>
      <c r="X1190" s="9"/>
    </row>
    <row r="1191" spans="10:24" ht="14" customHeight="1" x14ac:dyDescent="0.15">
      <c r="J1191" s="9"/>
      <c r="X1191" s="9"/>
    </row>
    <row r="1192" spans="10:24" ht="14" customHeight="1" x14ac:dyDescent="0.15">
      <c r="J1192" s="9"/>
      <c r="X1192" s="9"/>
    </row>
    <row r="1193" spans="10:24" ht="14" customHeight="1" x14ac:dyDescent="0.15">
      <c r="J1193" s="9"/>
      <c r="X1193" s="9"/>
    </row>
    <row r="1194" spans="10:24" ht="14" customHeight="1" x14ac:dyDescent="0.15">
      <c r="J1194" s="9"/>
      <c r="X1194" s="9"/>
    </row>
    <row r="1195" spans="10:24" ht="14" customHeight="1" x14ac:dyDescent="0.15">
      <c r="J1195" s="9"/>
      <c r="X1195" s="9"/>
    </row>
    <row r="1196" spans="10:24" ht="14" customHeight="1" x14ac:dyDescent="0.15">
      <c r="J1196" s="9"/>
      <c r="X1196" s="9"/>
    </row>
    <row r="1197" spans="10:24" ht="14" customHeight="1" x14ac:dyDescent="0.15">
      <c r="J1197" s="9"/>
      <c r="X1197" s="9"/>
    </row>
    <row r="1198" spans="10:24" ht="14" customHeight="1" x14ac:dyDescent="0.15">
      <c r="J1198" s="9"/>
      <c r="X1198" s="9"/>
    </row>
    <row r="1199" spans="10:24" ht="14" customHeight="1" x14ac:dyDescent="0.15">
      <c r="J1199" s="9"/>
      <c r="X1199" s="9"/>
    </row>
    <row r="1200" spans="10:24" ht="14" customHeight="1" x14ac:dyDescent="0.15">
      <c r="J1200" s="9"/>
      <c r="X1200" s="9"/>
    </row>
    <row r="1201" spans="10:24" ht="14" customHeight="1" x14ac:dyDescent="0.15">
      <c r="J1201" s="9"/>
      <c r="X1201" s="9"/>
    </row>
    <row r="1202" spans="10:24" ht="14" customHeight="1" x14ac:dyDescent="0.15">
      <c r="J1202" s="9"/>
      <c r="X1202" s="9"/>
    </row>
    <row r="1203" spans="10:24" ht="14" customHeight="1" x14ac:dyDescent="0.15">
      <c r="J1203" s="9"/>
      <c r="X1203" s="9"/>
    </row>
    <row r="1204" spans="10:24" ht="14" customHeight="1" x14ac:dyDescent="0.15">
      <c r="J1204" s="9"/>
      <c r="X1204" s="9"/>
    </row>
    <row r="1205" spans="10:24" ht="14" customHeight="1" x14ac:dyDescent="0.15">
      <c r="J1205" s="9"/>
      <c r="X1205" s="9"/>
    </row>
    <row r="1206" spans="10:24" ht="14" customHeight="1" x14ac:dyDescent="0.15">
      <c r="J1206" s="9"/>
      <c r="X1206" s="9"/>
    </row>
    <row r="1207" spans="10:24" ht="14" customHeight="1" x14ac:dyDescent="0.15">
      <c r="J1207" s="9"/>
      <c r="X1207" s="9"/>
    </row>
    <row r="1208" spans="10:24" ht="14" customHeight="1" x14ac:dyDescent="0.15">
      <c r="J1208" s="9"/>
      <c r="X1208" s="9"/>
    </row>
    <row r="1209" spans="10:24" ht="14" customHeight="1" x14ac:dyDescent="0.15">
      <c r="J1209" s="9"/>
      <c r="X1209" s="9"/>
    </row>
    <row r="1210" spans="10:24" ht="14" customHeight="1" x14ac:dyDescent="0.15">
      <c r="J1210" s="9"/>
      <c r="X1210" s="9"/>
    </row>
    <row r="1211" spans="10:24" ht="14" customHeight="1" x14ac:dyDescent="0.15">
      <c r="J1211" s="9"/>
      <c r="X1211" s="9"/>
    </row>
    <row r="1212" spans="10:24" ht="14" customHeight="1" x14ac:dyDescent="0.15">
      <c r="J1212" s="9"/>
      <c r="X1212" s="9"/>
    </row>
    <row r="1213" spans="10:24" ht="14" customHeight="1" x14ac:dyDescent="0.15">
      <c r="J1213" s="9"/>
      <c r="X1213" s="9"/>
    </row>
    <row r="1214" spans="10:24" ht="14" customHeight="1" x14ac:dyDescent="0.15">
      <c r="J1214" s="9"/>
      <c r="X1214" s="9"/>
    </row>
    <row r="1215" spans="10:24" ht="14" customHeight="1" x14ac:dyDescent="0.15">
      <c r="J1215" s="9"/>
      <c r="X1215" s="9"/>
    </row>
    <row r="1216" spans="10:24" ht="14" customHeight="1" x14ac:dyDescent="0.15">
      <c r="J1216" s="9"/>
      <c r="X1216" s="9"/>
    </row>
    <row r="1217" spans="10:24" ht="14" customHeight="1" x14ac:dyDescent="0.15">
      <c r="J1217" s="9"/>
      <c r="X1217" s="9"/>
    </row>
    <row r="1218" spans="10:24" ht="14" customHeight="1" x14ac:dyDescent="0.15">
      <c r="J1218" s="9"/>
      <c r="X1218" s="9"/>
    </row>
    <row r="1219" spans="10:24" ht="14" customHeight="1" x14ac:dyDescent="0.15">
      <c r="J1219" s="9"/>
      <c r="X1219" s="9"/>
    </row>
    <row r="1220" spans="10:24" ht="14" customHeight="1" x14ac:dyDescent="0.15">
      <c r="J1220" s="9"/>
      <c r="X1220" s="9"/>
    </row>
    <row r="1221" spans="10:24" ht="14" customHeight="1" x14ac:dyDescent="0.15">
      <c r="J1221" s="9"/>
      <c r="X1221" s="9"/>
    </row>
    <row r="1222" spans="10:24" ht="14" customHeight="1" x14ac:dyDescent="0.15">
      <c r="J1222" s="9"/>
      <c r="X1222" s="9"/>
    </row>
    <row r="1223" spans="10:24" ht="14" customHeight="1" x14ac:dyDescent="0.15">
      <c r="J1223" s="9"/>
      <c r="X1223" s="9"/>
    </row>
    <row r="1224" spans="10:24" ht="14" customHeight="1" x14ac:dyDescent="0.15">
      <c r="J1224" s="9"/>
      <c r="X1224" s="9"/>
    </row>
    <row r="1225" spans="10:24" ht="14" customHeight="1" x14ac:dyDescent="0.15">
      <c r="J1225" s="9"/>
      <c r="X1225" s="9"/>
    </row>
    <row r="1226" spans="10:24" ht="14" customHeight="1" x14ac:dyDescent="0.15">
      <c r="J1226" s="9"/>
      <c r="X1226" s="9"/>
    </row>
    <row r="1227" spans="10:24" ht="14" customHeight="1" x14ac:dyDescent="0.15">
      <c r="J1227" s="9"/>
      <c r="X1227" s="9"/>
    </row>
    <row r="1228" spans="10:24" ht="14" customHeight="1" x14ac:dyDescent="0.15">
      <c r="J1228" s="9"/>
      <c r="X1228" s="9"/>
    </row>
    <row r="1229" spans="10:24" ht="14" customHeight="1" x14ac:dyDescent="0.15">
      <c r="J1229" s="9"/>
      <c r="X1229" s="9"/>
    </row>
    <row r="1230" spans="10:24" ht="14" customHeight="1" x14ac:dyDescent="0.15">
      <c r="J1230" s="9"/>
      <c r="X1230" s="9"/>
    </row>
    <row r="1231" spans="10:24" ht="14" customHeight="1" x14ac:dyDescent="0.15">
      <c r="J1231" s="9"/>
      <c r="X1231" s="9"/>
    </row>
    <row r="1232" spans="10:24" ht="14" customHeight="1" x14ac:dyDescent="0.15">
      <c r="J1232" s="9"/>
      <c r="X1232" s="9"/>
    </row>
    <row r="1233" spans="10:24" ht="14" customHeight="1" x14ac:dyDescent="0.15">
      <c r="J1233" s="9"/>
      <c r="X1233" s="9"/>
    </row>
    <row r="1234" spans="10:24" ht="14" customHeight="1" x14ac:dyDescent="0.15">
      <c r="J1234" s="9"/>
      <c r="X1234" s="9"/>
    </row>
    <row r="1235" spans="10:24" ht="14" customHeight="1" x14ac:dyDescent="0.15">
      <c r="J1235" s="9"/>
      <c r="X1235" s="9"/>
    </row>
    <row r="1236" spans="10:24" ht="14" customHeight="1" x14ac:dyDescent="0.15">
      <c r="J1236" s="9"/>
      <c r="X1236" s="9"/>
    </row>
    <row r="1237" spans="10:24" ht="14" customHeight="1" x14ac:dyDescent="0.15">
      <c r="J1237" s="9"/>
      <c r="X1237" s="9"/>
    </row>
    <row r="1238" spans="10:24" ht="14" customHeight="1" x14ac:dyDescent="0.15">
      <c r="J1238" s="9"/>
      <c r="X1238" s="9"/>
    </row>
    <row r="1239" spans="10:24" ht="14" customHeight="1" x14ac:dyDescent="0.15">
      <c r="J1239" s="9"/>
      <c r="X1239" s="9"/>
    </row>
    <row r="1240" spans="10:24" ht="14" customHeight="1" x14ac:dyDescent="0.15">
      <c r="J1240" s="9"/>
      <c r="X1240" s="9"/>
    </row>
    <row r="1241" spans="10:24" ht="14" customHeight="1" x14ac:dyDescent="0.15">
      <c r="J1241" s="9"/>
      <c r="X1241" s="9"/>
    </row>
    <row r="1242" spans="10:24" ht="14" customHeight="1" x14ac:dyDescent="0.15">
      <c r="J1242" s="9"/>
      <c r="X1242" s="9"/>
    </row>
    <row r="1243" spans="10:24" ht="14" customHeight="1" x14ac:dyDescent="0.15">
      <c r="J1243" s="9"/>
      <c r="X1243" s="9"/>
    </row>
    <row r="1244" spans="10:24" ht="14" customHeight="1" x14ac:dyDescent="0.15">
      <c r="J1244" s="9"/>
      <c r="X1244" s="9"/>
    </row>
    <row r="1245" spans="10:24" ht="14" customHeight="1" x14ac:dyDescent="0.15">
      <c r="J1245" s="9"/>
      <c r="X1245" s="9"/>
    </row>
    <row r="1246" spans="10:24" ht="14" customHeight="1" x14ac:dyDescent="0.15">
      <c r="J1246" s="9"/>
      <c r="X1246" s="9"/>
    </row>
    <row r="1247" spans="10:24" ht="14" customHeight="1" x14ac:dyDescent="0.15">
      <c r="J1247" s="9"/>
      <c r="X1247" s="9"/>
    </row>
    <row r="1248" spans="10:24" ht="14" customHeight="1" x14ac:dyDescent="0.15">
      <c r="J1248" s="9"/>
      <c r="X1248" s="9"/>
    </row>
    <row r="1249" spans="10:24" ht="14" customHeight="1" x14ac:dyDescent="0.15">
      <c r="J1249" s="9"/>
      <c r="X1249" s="9"/>
    </row>
    <row r="1250" spans="10:24" ht="14" customHeight="1" x14ac:dyDescent="0.15">
      <c r="J1250" s="9"/>
      <c r="X1250" s="9"/>
    </row>
    <row r="1251" spans="10:24" ht="14" customHeight="1" x14ac:dyDescent="0.15">
      <c r="J1251" s="9"/>
      <c r="X1251" s="9"/>
    </row>
  </sheetData>
  <sheetProtection sheet="1" selectLockedCells="1"/>
  <mergeCells count="51">
    <mergeCell ref="B37:I37"/>
    <mergeCell ref="B14:H14"/>
    <mergeCell ref="B17:I17"/>
    <mergeCell ref="A2:J2"/>
    <mergeCell ref="B22:C22"/>
    <mergeCell ref="D22:E22"/>
    <mergeCell ref="F22:H22"/>
    <mergeCell ref="I9:J9"/>
    <mergeCell ref="I10:J10"/>
    <mergeCell ref="E9:F9"/>
    <mergeCell ref="E10:F10"/>
    <mergeCell ref="F23:H23"/>
    <mergeCell ref="B23:C23"/>
    <mergeCell ref="B24:C24"/>
    <mergeCell ref="D23:E23"/>
    <mergeCell ref="D24:E24"/>
    <mergeCell ref="C31:E31"/>
    <mergeCell ref="F27:H27"/>
    <mergeCell ref="F28:H28"/>
    <mergeCell ref="F24:H24"/>
    <mergeCell ref="B26:C26"/>
    <mergeCell ref="B27:C27"/>
    <mergeCell ref="D26:E26"/>
    <mergeCell ref="D28:E28"/>
    <mergeCell ref="F31:G31"/>
    <mergeCell ref="D27:E27"/>
    <mergeCell ref="B25:C25"/>
    <mergeCell ref="G41:I41"/>
    <mergeCell ref="D40:E40"/>
    <mergeCell ref="G40:J40"/>
    <mergeCell ref="L47:N47"/>
    <mergeCell ref="G51:I51"/>
    <mergeCell ref="A42:C42"/>
    <mergeCell ref="A43:C43"/>
    <mergeCell ref="A44:C44"/>
    <mergeCell ref="A45:C45"/>
    <mergeCell ref="G42:I42"/>
    <mergeCell ref="G43:I43"/>
    <mergeCell ref="G44:I44"/>
    <mergeCell ref="G45:H45"/>
    <mergeCell ref="I45:J45"/>
    <mergeCell ref="D42:E42"/>
    <mergeCell ref="D44:E44"/>
    <mergeCell ref="D45:E45"/>
    <mergeCell ref="D43:E43"/>
    <mergeCell ref="C34:E34"/>
    <mergeCell ref="C35:E35"/>
    <mergeCell ref="C36:E36"/>
    <mergeCell ref="F34:G34"/>
    <mergeCell ref="F35:G35"/>
    <mergeCell ref="F36:G36"/>
  </mergeCells>
  <conditionalFormatting sqref="A53:J53">
    <cfRule type="expression" dxfId="18" priority="16">
      <formula>$D53="Early Payment"</formula>
    </cfRule>
    <cfRule type="expression" dxfId="17" priority="15">
      <formula>$A53&lt;&gt;""</formula>
    </cfRule>
  </conditionalFormatting>
  <conditionalFormatting sqref="A54:J1251">
    <cfRule type="expression" dxfId="16" priority="13">
      <formula>$D54="Early Payment"</formula>
    </cfRule>
    <cfRule type="expression" dxfId="15" priority="14">
      <formula>$A54&lt;&gt;""</formula>
    </cfRule>
  </conditionalFormatting>
  <conditionalFormatting sqref="D40:E40">
    <cfRule type="expression" dxfId="14" priority="9">
      <formula>$A$40&lt;&gt;""</formula>
    </cfRule>
  </conditionalFormatting>
  <conditionalFormatting sqref="D42:E42">
    <cfRule type="expression" dxfId="13" priority="8">
      <formula>$A$40&lt;&gt;""</formula>
    </cfRule>
  </conditionalFormatting>
  <conditionalFormatting sqref="D43:E45">
    <cfRule type="expression" dxfId="12" priority="7">
      <formula>$A$40&lt;&gt;""</formula>
    </cfRule>
  </conditionalFormatting>
  <conditionalFormatting sqref="E9:J10">
    <cfRule type="notContainsBlanks" dxfId="11" priority="35">
      <formula>LEN(TRIM(E9))&gt;0</formula>
    </cfRule>
  </conditionalFormatting>
  <conditionalFormatting sqref="X53">
    <cfRule type="expression" dxfId="10" priority="3">
      <formula>$D53="Early Payment"</formula>
    </cfRule>
    <cfRule type="expression" dxfId="9" priority="4">
      <formula>$A53&lt;&gt;""</formula>
    </cfRule>
  </conditionalFormatting>
  <conditionalFormatting sqref="X54:X1251">
    <cfRule type="expression" dxfId="8" priority="1">
      <formula>$D54="Early Payment"</formula>
    </cfRule>
    <cfRule type="expression" dxfId="7" priority="2">
      <formula>$A54&lt;&gt;""</formula>
    </cfRule>
  </conditionalFormatting>
  <conditionalFormatting sqref="X9:X10">
    <cfRule type="notContainsBlanks" dxfId="6" priority="5">
      <formula>LEN(TRIM(X9))&gt;0</formula>
    </cfRule>
  </conditionalFormatting>
  <dataValidations count="2">
    <dataValidation type="list" allowBlank="1" showInputMessage="1" showErrorMessage="1" sqref="D40" xr:uid="{6C721943-E8BD-4D19-B9F2-D71E041D8A75}">
      <formula1>_xlfn.ANCHORARRAY($B$53)</formula1>
    </dataValidation>
    <dataValidation type="list" allowBlank="1" showInputMessage="1" showErrorMessage="1" sqref="G39" xr:uid="{88CAD60A-2B5A-47D8-A1E2-3513AFF5DFA2}">
      <formula1>YesNo</formula1>
    </dataValidation>
  </dataValidations>
  <printOptions horizontalCentered="1"/>
  <pageMargins left="0.31496062992125984" right="0.31496062992125984" top="0.74803149606299213" bottom="0.74803149606299213" header="0.31496062992125984" footer="0.31496062992125984"/>
  <pageSetup paperSize="9" scale="90" orientation="portrait" horizontalDpi="360" verticalDpi="360" r:id="rId1"/>
  <drawing r:id="rId2"/>
  <extLst>
    <ext xmlns:x14="http://schemas.microsoft.com/office/spreadsheetml/2009/9/main" uri="{78C0D931-6437-407d-A8EE-F0AAD7539E65}">
      <x14:conditionalFormattings>
        <x14:conditionalFormatting xmlns:xm="http://schemas.microsoft.com/office/excel/2006/main">
          <x14:cfRule type="dataBar" priority="10" id="{78E050C5-4E89-46C9-B626-4B8D307E887A}">
            <x14:dataBar minLength="0" maxLength="100" gradient="0">
              <x14:cfvo type="num">
                <xm:f>0</xm:f>
              </x14:cfvo>
              <x14:cfvo type="num">
                <xm:f>Hidden_Filter!$E$4</xm:f>
              </x14:cfvo>
              <x14:fillColor theme="5" tint="0.39997558519241921"/>
              <x14:negativeFillColor rgb="FFFF0000"/>
              <x14:axisColor rgb="FF000000"/>
            </x14:dataBar>
          </x14:cfRule>
          <xm:sqref>B17</xm:sqref>
        </x14:conditionalFormatting>
        <x14:conditionalFormatting xmlns:xm="http://schemas.microsoft.com/office/excel/2006/main">
          <x14:cfRule type="dataBar" priority="33" id="{BE9EC25B-B5BA-4D05-B979-4D55D6D0C1FB}">
            <x14:dataBar minLength="0" maxLength="100" gradient="0">
              <x14:cfvo type="num">
                <xm:f>0</xm:f>
              </x14:cfvo>
              <x14:cfvo type="num">
                <xm:f>'Hidden_Control Sheet'!$B$14</xm:f>
              </x14:cfvo>
              <x14:fillColor theme="5" tint="0.39997558519241921"/>
              <x14:negativeFillColor rgb="FFFF0000"/>
              <x14:axisColor rgb="FF000000"/>
            </x14:dataBar>
          </x14:cfRule>
          <xm:sqref>B14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225D2F54-A734-4CAB-872A-10BF8ED2FF73}">
          <x14:formula1>
            <xm:f>_xlfn.ANCHORARRAY('Hidden_Control Sheet'!$C$41)</xm:f>
          </x14:formula1>
          <xm:sqref>B14</xm:sqref>
        </x14:dataValidation>
        <x14:dataValidation type="list" allowBlank="1" showInputMessage="1" showErrorMessage="1" xr:uid="{D4E29258-2915-4F39-8307-FB3AFCE8AF35}">
          <x14:formula1>
            <xm:f>INDIRECT(Hidden_Filter!B3)</xm:f>
          </x14:formula1>
          <xm:sqref>B17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99A7F-0190-4C4E-8FBD-A5D75A3505CB}">
  <sheetPr codeName="Sheet7">
    <tabColor theme="0" tint="-0.34998626667073579"/>
  </sheetPr>
  <dimension ref="A1:I73"/>
  <sheetViews>
    <sheetView showGridLines="0" topLeftCell="A13" workbookViewId="0">
      <selection activeCell="A32" sqref="A32"/>
    </sheetView>
  </sheetViews>
  <sheetFormatPr baseColWidth="10" defaultColWidth="8.6640625" defaultRowHeight="15" customHeight="1" x14ac:dyDescent="0.15"/>
  <cols>
    <col min="1" max="7" width="21.33203125" style="46" customWidth="1"/>
    <col min="8" max="12" width="19.6640625" style="45" customWidth="1"/>
    <col min="13" max="16384" width="8.6640625" style="45"/>
  </cols>
  <sheetData>
    <row r="1" spans="1:8" s="43" customFormat="1" ht="30" customHeight="1" x14ac:dyDescent="0.15">
      <c r="A1" s="68" t="s">
        <v>0</v>
      </c>
      <c r="B1" s="42"/>
      <c r="C1" s="42"/>
      <c r="D1" s="42"/>
      <c r="E1" s="42"/>
      <c r="F1" s="42"/>
      <c r="G1" s="42"/>
    </row>
    <row r="2" spans="1:8" ht="15" customHeight="1" x14ac:dyDescent="0.15">
      <c r="A2" s="44"/>
      <c r="B2" s="45" t="s">
        <v>132</v>
      </c>
    </row>
    <row r="3" spans="1:8" s="73" customFormat="1" ht="38.5" customHeight="1" x14ac:dyDescent="0.3">
      <c r="A3" s="70" t="s">
        <v>6</v>
      </c>
      <c r="B3" s="71" t="s">
        <v>147</v>
      </c>
      <c r="C3" s="72"/>
      <c r="D3" s="72"/>
      <c r="E3" s="72"/>
      <c r="F3" s="72"/>
      <c r="G3" s="72"/>
      <c r="H3" s="72"/>
    </row>
    <row r="4" spans="1:8" ht="15" customHeight="1" x14ac:dyDescent="0.15">
      <c r="H4" s="46"/>
    </row>
    <row r="5" spans="1:8" ht="13" x14ac:dyDescent="0.15">
      <c r="A5" s="47" t="s">
        <v>122</v>
      </c>
      <c r="H5" s="46"/>
    </row>
    <row r="6" spans="1:8" ht="15" customHeight="1" x14ac:dyDescent="0.15">
      <c r="A6" s="48" t="s">
        <v>1</v>
      </c>
      <c r="H6" s="46"/>
    </row>
    <row r="7" spans="1:8" ht="15" customHeight="1" x14ac:dyDescent="0.15">
      <c r="A7" s="48" t="s">
        <v>2</v>
      </c>
      <c r="H7" s="46"/>
    </row>
    <row r="8" spans="1:8" ht="15" customHeight="1" x14ac:dyDescent="0.15">
      <c r="A8" s="48" t="s">
        <v>3</v>
      </c>
      <c r="H8" s="46"/>
    </row>
    <row r="9" spans="1:8" ht="15" customHeight="1" x14ac:dyDescent="0.15">
      <c r="A9" s="48" t="s">
        <v>4</v>
      </c>
    </row>
    <row r="10" spans="1:8" ht="15" customHeight="1" x14ac:dyDescent="0.15">
      <c r="A10" s="48" t="s">
        <v>5</v>
      </c>
    </row>
    <row r="11" spans="1:8" ht="15" customHeight="1" x14ac:dyDescent="0.15">
      <c r="H11" s="46"/>
    </row>
    <row r="12" spans="1:8" ht="15" customHeight="1" x14ac:dyDescent="0.15">
      <c r="A12" s="47" t="s">
        <v>123</v>
      </c>
      <c r="H12" s="46"/>
    </row>
    <row r="13" spans="1:8" ht="15" customHeight="1" x14ac:dyDescent="0.15">
      <c r="A13" s="48" t="s">
        <v>200</v>
      </c>
    </row>
    <row r="14" spans="1:8" ht="15" customHeight="1" x14ac:dyDescent="0.15">
      <c r="A14" s="48" t="s">
        <v>7</v>
      </c>
    </row>
    <row r="15" spans="1:8" ht="15" customHeight="1" x14ac:dyDescent="0.15">
      <c r="A15" s="48" t="s">
        <v>201</v>
      </c>
    </row>
    <row r="16" spans="1:8" ht="15" customHeight="1" x14ac:dyDescent="0.15">
      <c r="C16" s="49" t="s">
        <v>128</v>
      </c>
      <c r="D16" s="50"/>
      <c r="E16" s="50"/>
      <c r="F16" s="50"/>
    </row>
    <row r="17" spans="1:7" ht="26" x14ac:dyDescent="0.15">
      <c r="A17" s="47" t="s">
        <v>124</v>
      </c>
      <c r="C17" s="47" t="s">
        <v>118</v>
      </c>
      <c r="D17" s="47" t="s">
        <v>119</v>
      </c>
      <c r="E17" s="47" t="s">
        <v>120</v>
      </c>
      <c r="F17" s="47" t="s">
        <v>121</v>
      </c>
    </row>
    <row r="18" spans="1:7" ht="15" customHeight="1" x14ac:dyDescent="0.15">
      <c r="A18" s="51" t="s">
        <v>8</v>
      </c>
      <c r="B18" s="46" t="s">
        <v>11</v>
      </c>
      <c r="E18" s="47" t="s">
        <v>117</v>
      </c>
      <c r="F18" s="47" t="s">
        <v>117</v>
      </c>
    </row>
    <row r="19" spans="1:7" ht="15" customHeight="1" x14ac:dyDescent="0.15">
      <c r="A19" s="51" t="s">
        <v>9</v>
      </c>
      <c r="B19" s="46" t="str">
        <f>A20</f>
        <v>under VAT regime</v>
      </c>
      <c r="C19" s="51" t="s">
        <v>12</v>
      </c>
      <c r="D19" s="51" t="s">
        <v>14</v>
      </c>
    </row>
    <row r="20" spans="1:7" ht="15" customHeight="1" x14ac:dyDescent="0.15">
      <c r="A20" s="51" t="s">
        <v>10</v>
      </c>
      <c r="C20" s="51" t="s">
        <v>13</v>
      </c>
      <c r="D20" s="51" t="s">
        <v>15</v>
      </c>
    </row>
    <row r="21" spans="1:7" ht="15" customHeight="1" x14ac:dyDescent="0.15">
      <c r="A21" s="52" t="s">
        <v>127</v>
      </c>
      <c r="C21" s="52" t="s">
        <v>127</v>
      </c>
      <c r="D21" s="52" t="s">
        <v>127</v>
      </c>
    </row>
    <row r="22" spans="1:7" ht="15" customHeight="1" x14ac:dyDescent="0.15">
      <c r="A22" s="53" t="str">
        <f>IF('Your Project'!B10="Construction Lot","Type_withoutVAT","Type_withVAT")</f>
        <v>Type_withVAT</v>
      </c>
      <c r="C22" s="54" t="str">
        <f>IF('Your Project'!H9&lt;&gt;"","YesNo","vazio")</f>
        <v>vazio</v>
      </c>
      <c r="D22" s="54" t="str">
        <f>IF('Your Project'!H9&lt;&gt;"","Q3b_VAT","vazio")</f>
        <v>vazio</v>
      </c>
    </row>
    <row r="23" spans="1:7" ht="15" customHeight="1" x14ac:dyDescent="0.15">
      <c r="F23" s="167" t="s">
        <v>218</v>
      </c>
      <c r="G23" s="167" t="s">
        <v>219</v>
      </c>
    </row>
    <row r="24" spans="1:7" ht="15" customHeight="1" x14ac:dyDescent="0.15">
      <c r="A24" s="55" t="s">
        <v>125</v>
      </c>
      <c r="F24" s="46" t="str" cm="1">
        <f t="array" aca="1" ref="F24:F26" ca="1">INDIRECT(A25)</f>
        <v>Increased registration (12%)</v>
      </c>
      <c r="G24" s="46" t="s">
        <v>220</v>
      </c>
    </row>
    <row r="25" spans="1:7" ht="15" customHeight="1" x14ac:dyDescent="0.15">
      <c r="A25" s="51" t="s">
        <v>113</v>
      </c>
      <c r="B25" s="56" t="s">
        <v>104</v>
      </c>
      <c r="C25" s="57" t="s">
        <v>105</v>
      </c>
      <c r="F25" s="46" t="str">
        <f ca="1"/>
        <v>Normal Registration (3%)</v>
      </c>
      <c r="G25" s="46" t="s">
        <v>221</v>
      </c>
    </row>
    <row r="26" spans="1:7" ht="15" customHeight="1" x14ac:dyDescent="0.15">
      <c r="F26" s="46" t="str">
        <f ca="1"/>
        <v xml:space="preserve">Unkown </v>
      </c>
    </row>
    <row r="27" spans="1:7" ht="15" customHeight="1" x14ac:dyDescent="0.15">
      <c r="A27" s="47" t="s">
        <v>229</v>
      </c>
      <c r="F27" s="46" t="str" cm="1">
        <f t="array" aca="1" ref="F27:F29" ca="1">INDIRECT(B25)</f>
        <v>With abatement of 175.000 EUR</v>
      </c>
      <c r="G27" s="46" t="s">
        <v>225</v>
      </c>
    </row>
    <row r="28" spans="1:7" ht="15" customHeight="1" x14ac:dyDescent="0.15">
      <c r="A28" s="58" t="s">
        <v>106</v>
      </c>
      <c r="B28" s="59" t="s">
        <v>107</v>
      </c>
      <c r="C28" s="60" t="s">
        <v>108</v>
      </c>
      <c r="D28" s="45" t="s">
        <v>133</v>
      </c>
      <c r="F28" s="46" t="str">
        <f ca="1"/>
        <v>No Abatement</v>
      </c>
      <c r="G28" s="46" t="s">
        <v>226</v>
      </c>
    </row>
    <row r="29" spans="1:7" ht="15" customHeight="1" x14ac:dyDescent="0.15">
      <c r="A29" s="58" t="s">
        <v>109</v>
      </c>
      <c r="B29" s="59" t="s">
        <v>227</v>
      </c>
      <c r="C29" s="60" t="s">
        <v>110</v>
      </c>
      <c r="F29" s="46" t="str">
        <f ca="1"/>
        <v xml:space="preserve">Unkown </v>
      </c>
      <c r="G29" s="46" t="s">
        <v>226</v>
      </c>
    </row>
    <row r="30" spans="1:7" ht="15" customHeight="1" x14ac:dyDescent="0.15">
      <c r="A30" s="58" t="s">
        <v>202</v>
      </c>
      <c r="B30" s="59" t="s">
        <v>202</v>
      </c>
      <c r="C30" s="60" t="s">
        <v>111</v>
      </c>
      <c r="F30" s="46" t="str" cm="1">
        <f t="array" aca="1" ref="F30:F34" ca="1">INDIRECT(C25)</f>
        <v>Normal registration (12,5%)</v>
      </c>
      <c r="G30" s="46" t="s">
        <v>226</v>
      </c>
    </row>
    <row r="31" spans="1:7" ht="15" customHeight="1" x14ac:dyDescent="0.15">
      <c r="A31" s="2"/>
      <c r="B31" s="2"/>
      <c r="C31" s="60" t="s">
        <v>112</v>
      </c>
      <c r="F31" s="46" t="str">
        <f ca="1"/>
        <v>Normal registration (12,5%) + normal abatement</v>
      </c>
      <c r="G31" s="46" t="s">
        <v>222</v>
      </c>
    </row>
    <row r="32" spans="1:7" ht="15" customHeight="1" x14ac:dyDescent="0.15">
      <c r="A32" s="2">
        <f>IF(AND('Your Project'!B16="BRUSSELS",'Your Project'!D16&gt;500000),"Brussels_NoAbatement",'Your Project'!B16)</f>
        <v>0</v>
      </c>
      <c r="B32" s="2"/>
      <c r="C32" s="60" t="s">
        <v>203</v>
      </c>
      <c r="F32" s="46" t="str">
        <f ca="1"/>
        <v>Reduced registration (6%)</v>
      </c>
      <c r="G32" s="46" t="s">
        <v>223</v>
      </c>
    </row>
    <row r="33" spans="1:8" ht="15" customHeight="1" x14ac:dyDescent="0.15">
      <c r="F33" s="46" t="str">
        <f ca="1"/>
        <v>Reduced registration (6%) + normal abatement</v>
      </c>
      <c r="G33" s="46" t="s">
        <v>224</v>
      </c>
    </row>
    <row r="34" spans="1:8" ht="15" customHeight="1" x14ac:dyDescent="0.15">
      <c r="B34" s="61"/>
      <c r="C34" s="61" t="s">
        <v>139</v>
      </c>
      <c r="D34" s="61" t="s">
        <v>140</v>
      </c>
      <c r="F34" s="46" t="str">
        <f ca="1"/>
        <v>Unkown</v>
      </c>
      <c r="G34" s="46" t="s">
        <v>226</v>
      </c>
    </row>
    <row r="35" spans="1:8" ht="15" customHeight="1" x14ac:dyDescent="0.15">
      <c r="A35" s="62" t="s">
        <v>131</v>
      </c>
      <c r="B35" s="63" t="s">
        <v>138</v>
      </c>
      <c r="C35" s="63">
        <f>COUNTA('Your Project'!B9:L9,'Your Project'!B15:H15)-COUNTIF('Your Project'!H9:L9,"")+2</f>
        <v>6</v>
      </c>
      <c r="D35" s="63">
        <f>COUNTA('Your Project'!B10:L10,'Your Project'!B16:H16)</f>
        <v>0</v>
      </c>
    </row>
    <row r="37" spans="1:8" s="65" customFormat="1" ht="5" customHeight="1" x14ac:dyDescent="0.15">
      <c r="A37" s="64"/>
      <c r="B37" s="64"/>
      <c r="C37" s="64"/>
      <c r="D37" s="64"/>
      <c r="E37" s="64"/>
      <c r="F37" s="64"/>
      <c r="G37" s="64"/>
    </row>
    <row r="38" spans="1:8" s="67" customFormat="1" ht="30" customHeight="1" x14ac:dyDescent="0.15">
      <c r="A38" s="41" t="s">
        <v>145</v>
      </c>
      <c r="B38" s="41" t="s">
        <v>146</v>
      </c>
      <c r="C38" s="66"/>
      <c r="D38" s="66"/>
      <c r="E38" s="66"/>
      <c r="F38" s="66"/>
      <c r="G38" s="66"/>
      <c r="H38" s="66"/>
    </row>
    <row r="40" spans="1:8" ht="15" customHeight="1" x14ac:dyDescent="0.15">
      <c r="A40" s="46" t="s">
        <v>150</v>
      </c>
      <c r="B40" s="46" t="str">
        <f>IF(C43&gt;4,"YesNo","Vazio")</f>
        <v>Vazio</v>
      </c>
      <c r="F40" s="54" t="str">
        <f>IF('Add Ins'!B10="YES","Renovation_VAT","VAZIO")</f>
        <v>VAZIO</v>
      </c>
    </row>
    <row r="41" spans="1:8" ht="15" customHeight="1" x14ac:dyDescent="0.15">
      <c r="F41" s="106">
        <v>0.06</v>
      </c>
      <c r="G41" s="46">
        <v>13000</v>
      </c>
    </row>
    <row r="42" spans="1:8" ht="15" customHeight="1" x14ac:dyDescent="0.15">
      <c r="B42" s="61"/>
      <c r="C42" s="61" t="s">
        <v>139</v>
      </c>
      <c r="D42" s="61" t="s">
        <v>140</v>
      </c>
      <c r="F42" s="106">
        <v>0.21</v>
      </c>
      <c r="G42" s="46">
        <f>IF(AND('Add Ins'!F16=0,'Add Ins'!H16=0),'Your Project'!D16,'Add Ins'!F16-'Add Ins'!H16)</f>
        <v>0</v>
      </c>
    </row>
    <row r="43" spans="1:8" ht="15" customHeight="1" x14ac:dyDescent="0.15">
      <c r="A43" s="62" t="s">
        <v>134</v>
      </c>
      <c r="B43" s="63" t="s">
        <v>138</v>
      </c>
      <c r="C43" s="63">
        <f>9-COUNTIF('Add Ins'!D9:F9,"")+1-COUNTIF('Add Ins'!D15:L15,"")+4</f>
        <v>2</v>
      </c>
      <c r="D43" s="63">
        <f>COUNTA('Add Ins'!B10,'Add Ins'!D10,'Add Ins'!F10,'Add Ins'!B16:L16)</f>
        <v>2</v>
      </c>
    </row>
    <row r="45" spans="1:8" s="65" customFormat="1" ht="5" customHeight="1" x14ac:dyDescent="0.15">
      <c r="A45" s="64"/>
      <c r="B45" s="64"/>
      <c r="C45" s="64"/>
      <c r="D45" s="64"/>
      <c r="E45" s="64"/>
      <c r="F45" s="64"/>
      <c r="G45" s="64"/>
    </row>
    <row r="46" spans="1:8" s="67" customFormat="1" ht="30" customHeight="1" x14ac:dyDescent="0.15">
      <c r="A46" s="41" t="s">
        <v>155</v>
      </c>
      <c r="B46" s="69" t="s">
        <v>135</v>
      </c>
      <c r="C46" s="66"/>
      <c r="D46" s="66"/>
      <c r="E46" s="66"/>
      <c r="F46" s="66"/>
      <c r="G46" s="66"/>
      <c r="H46" s="66"/>
    </row>
    <row r="49" spans="1:9" ht="15" customHeight="1" x14ac:dyDescent="0.15">
      <c r="A49" s="46" t="s">
        <v>156</v>
      </c>
      <c r="B49" s="75" t="s">
        <v>158</v>
      </c>
      <c r="C49" s="76">
        <f ca="1">TODAY()</f>
        <v>45126</v>
      </c>
      <c r="D49" s="75" t="s">
        <v>157</v>
      </c>
      <c r="E49" s="76">
        <f ca="1">((E50*365.5)-C49)*-1</f>
        <v>20637.5</v>
      </c>
      <c r="F49" s="75" t="s">
        <v>42</v>
      </c>
      <c r="G49" s="76">
        <f ca="1">((G50*365.5)-C49)*-1</f>
        <v>38547</v>
      </c>
    </row>
    <row r="50" spans="1:9" ht="15" customHeight="1" x14ac:dyDescent="0.15">
      <c r="D50" s="77" t="s">
        <v>160</v>
      </c>
      <c r="E50" s="78">
        <v>67</v>
      </c>
      <c r="F50" s="77" t="s">
        <v>159</v>
      </c>
      <c r="G50" s="78">
        <v>18</v>
      </c>
    </row>
    <row r="52" spans="1:9" ht="15" customHeight="1" x14ac:dyDescent="0.15">
      <c r="A52" s="46" t="s">
        <v>161</v>
      </c>
      <c r="B52" s="46" t="s">
        <v>172</v>
      </c>
      <c r="C52"/>
      <c r="E52" s="61"/>
      <c r="F52" s="61" t="s">
        <v>139</v>
      </c>
      <c r="G52" s="61" t="s">
        <v>140</v>
      </c>
    </row>
    <row r="53" spans="1:9" ht="15" customHeight="1" x14ac:dyDescent="0.15">
      <c r="A53" s="48" t="s">
        <v>162</v>
      </c>
      <c r="B53" s="54" t="str">
        <f>IF('Your Revenues'!B14="","vazio","type_replacement_income")</f>
        <v>vazio</v>
      </c>
      <c r="D53" s="267" t="s">
        <v>175</v>
      </c>
      <c r="E53" s="63" t="s">
        <v>173</v>
      </c>
      <c r="F53" s="63">
        <f>IF('Your Revenues'!B14="",2,4)</f>
        <v>2</v>
      </c>
      <c r="G53" s="63">
        <f>COUNTA('Your Revenues'!B12,'Your Revenues'!D12,'Your Revenues'!B17,'Your Revenues'!D17)</f>
        <v>0</v>
      </c>
    </row>
    <row r="54" spans="1:9" ht="15" customHeight="1" x14ac:dyDescent="0.15">
      <c r="A54" s="48" t="s">
        <v>163</v>
      </c>
      <c r="D54" s="267"/>
      <c r="E54" s="63" t="s">
        <v>174</v>
      </c>
      <c r="F54" s="63">
        <f>2-COUNTIF('Your Revenues'!L11,"")-COUNTIF('Your Revenues'!L16,"")</f>
        <v>0</v>
      </c>
      <c r="G54" s="63">
        <f>2-COUNTIF('Your Revenues'!L12,"")-COUNTIF('Your Revenues'!L17,"")</f>
        <v>0</v>
      </c>
    </row>
    <row r="55" spans="1:9" ht="15" customHeight="1" x14ac:dyDescent="0.15">
      <c r="A55" s="48" t="s">
        <v>164</v>
      </c>
      <c r="E55" s="86"/>
      <c r="F55" s="87">
        <f>SUM(F53:F54)</f>
        <v>2</v>
      </c>
      <c r="G55" s="87">
        <f>SUM(G53:G54)</f>
        <v>0</v>
      </c>
    </row>
    <row r="56" spans="1:9" ht="15" customHeight="1" x14ac:dyDescent="0.15">
      <c r="A56" s="48" t="s">
        <v>165</v>
      </c>
    </row>
    <row r="57" spans="1:9" ht="15" customHeight="1" x14ac:dyDescent="0.15">
      <c r="A57" s="48" t="s">
        <v>166</v>
      </c>
    </row>
    <row r="58" spans="1:9" ht="15" customHeight="1" x14ac:dyDescent="0.15">
      <c r="A58" s="48" t="s">
        <v>167</v>
      </c>
    </row>
    <row r="59" spans="1:9" ht="15" customHeight="1" x14ac:dyDescent="0.15">
      <c r="A59" s="48" t="s">
        <v>168</v>
      </c>
    </row>
    <row r="61" spans="1:9" ht="15" customHeight="1" x14ac:dyDescent="0.15">
      <c r="F61" s="45"/>
      <c r="G61" s="45"/>
    </row>
    <row r="62" spans="1:9" ht="28.5" customHeight="1" x14ac:dyDescent="0.15">
      <c r="A62" s="36" t="s">
        <v>178</v>
      </c>
      <c r="B62" s="36" t="s">
        <v>179</v>
      </c>
      <c r="C62" s="36" t="s">
        <v>180</v>
      </c>
      <c r="D62" s="36" t="s">
        <v>184</v>
      </c>
      <c r="E62" s="36" t="s">
        <v>182</v>
      </c>
      <c r="F62" s="36" t="s">
        <v>183</v>
      </c>
      <c r="G62" s="36" t="s">
        <v>181</v>
      </c>
      <c r="I62" s="4"/>
    </row>
    <row r="63" spans="1:9" ht="15" customHeight="1" x14ac:dyDescent="0.15">
      <c r="A63" s="46" t="s">
        <v>185</v>
      </c>
      <c r="B63" s="46" t="s">
        <v>185</v>
      </c>
      <c r="D63" s="46" t="s">
        <v>185</v>
      </c>
    </row>
    <row r="65" spans="1:8" ht="15" customHeight="1" x14ac:dyDescent="0.15">
      <c r="A65" s="46" t="s">
        <v>186</v>
      </c>
      <c r="B65" s="46" t="str">
        <f>IF('Additional Information'!B14="","vazio","yesno")</f>
        <v>vazio</v>
      </c>
    </row>
    <row r="67" spans="1:8" s="65" customFormat="1" ht="5" customHeight="1" x14ac:dyDescent="0.15">
      <c r="A67" s="64"/>
      <c r="B67" s="64"/>
      <c r="C67" s="64"/>
      <c r="D67" s="64"/>
      <c r="E67" s="64"/>
      <c r="F67" s="64"/>
      <c r="G67" s="64"/>
    </row>
    <row r="68" spans="1:8" s="67" customFormat="1" ht="30" customHeight="1" x14ac:dyDescent="0.15">
      <c r="A68" s="41" t="s">
        <v>195</v>
      </c>
      <c r="B68" s="69" t="s">
        <v>196</v>
      </c>
      <c r="C68" s="66"/>
      <c r="D68" s="66"/>
      <c r="E68" s="66"/>
      <c r="F68" s="66"/>
      <c r="G68" s="66"/>
      <c r="H68" s="66"/>
    </row>
    <row r="70" spans="1:8" ht="15" customHeight="1" x14ac:dyDescent="0.15">
      <c r="C70" s="61"/>
      <c r="D70" s="61" t="s">
        <v>139</v>
      </c>
      <c r="E70" s="61" t="s">
        <v>140</v>
      </c>
    </row>
    <row r="71" spans="1:8" ht="15" customHeight="1" x14ac:dyDescent="0.15">
      <c r="B71" s="267" t="s">
        <v>175</v>
      </c>
      <c r="C71" s="63" t="s">
        <v>44</v>
      </c>
      <c r="D71" s="63">
        <f>5-COUNTIF('Additional Information'!F11:J11,"")+2</f>
        <v>3</v>
      </c>
      <c r="E71" s="63">
        <f>5-COUNTIF('Additional Information'!B12:J12,"")+4</f>
        <v>0</v>
      </c>
    </row>
    <row r="72" spans="1:8" ht="15" customHeight="1" x14ac:dyDescent="0.15">
      <c r="B72" s="267"/>
      <c r="C72" s="63" t="s">
        <v>45</v>
      </c>
      <c r="D72" s="63">
        <f>5-COUNTIF('Additional Information'!B16:J16,"")+4</f>
        <v>0</v>
      </c>
      <c r="E72" s="63">
        <f>5-COUNTIF('Additional Information'!B17:J17,"")+4</f>
        <v>0</v>
      </c>
    </row>
    <row r="73" spans="1:8" ht="15" customHeight="1" x14ac:dyDescent="0.15">
      <c r="C73" s="86"/>
      <c r="D73" s="87">
        <f>SUM(D71:D72)</f>
        <v>3</v>
      </c>
      <c r="E73" s="87">
        <f>SUM(E71:E72)</f>
        <v>0</v>
      </c>
    </row>
  </sheetData>
  <mergeCells count="2">
    <mergeCell ref="D53:D54"/>
    <mergeCell ref="B71:B72"/>
  </mergeCells>
  <phoneticPr fontId="1" type="noConversion"/>
  <pageMargins left="0.7" right="0.7" top="0.75" bottom="0.75" header="0.3" footer="0.3"/>
  <pageSetup paperSize="9" orientation="portrait" horizontalDpi="360" verticalDpi="36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A7E1D-0BE8-45B2-BF2F-D6B4581AA158}">
  <sheetPr codeName="Sheet8">
    <tabColor theme="0" tint="-0.249977111117893"/>
  </sheetPr>
  <dimension ref="A1:FX103"/>
  <sheetViews>
    <sheetView showGridLines="0" workbookViewId="0">
      <selection activeCell="D22" sqref="D22"/>
    </sheetView>
  </sheetViews>
  <sheetFormatPr baseColWidth="10" defaultColWidth="11.6640625" defaultRowHeight="12" x14ac:dyDescent="0.15"/>
  <cols>
    <col min="1" max="1" width="11.6640625" style="2"/>
    <col min="2" max="2" width="11.6640625" style="13"/>
    <col min="3" max="16384" width="11.6640625" style="2"/>
  </cols>
  <sheetData>
    <row r="1" spans="1:10" s="95" customFormat="1" ht="15" customHeight="1" x14ac:dyDescent="0.15">
      <c r="A1" s="95" t="s">
        <v>16</v>
      </c>
    </row>
    <row r="2" spans="1:10" x14ac:dyDescent="0.15">
      <c r="A2" s="91">
        <f ca="1">TODAY()</f>
        <v>45126</v>
      </c>
      <c r="B2" s="10"/>
    </row>
    <row r="3" spans="1:10" s="90" customFormat="1" ht="15" customHeight="1" x14ac:dyDescent="0.15">
      <c r="A3" s="90" t="s">
        <v>192</v>
      </c>
    </row>
    <row r="4" spans="1:10" x14ac:dyDescent="0.15">
      <c r="B4" s="10"/>
      <c r="C4" s="12"/>
      <c r="D4" s="268" t="s">
        <v>48</v>
      </c>
      <c r="E4" s="268"/>
      <c r="G4" s="20" t="s">
        <v>47</v>
      </c>
      <c r="H4" s="20"/>
      <c r="I4" s="21"/>
      <c r="J4" s="21"/>
    </row>
    <row r="5" spans="1:10" x14ac:dyDescent="0.15">
      <c r="A5" s="20" t="s">
        <v>38</v>
      </c>
      <c r="B5" s="20" t="s">
        <v>46</v>
      </c>
      <c r="C5" s="20" t="s">
        <v>47</v>
      </c>
      <c r="D5" s="21" t="s">
        <v>41</v>
      </c>
      <c r="E5" s="21" t="s">
        <v>42</v>
      </c>
      <c r="G5" s="20" t="s">
        <v>49</v>
      </c>
      <c r="H5" s="20" t="s">
        <v>50</v>
      </c>
      <c r="I5" s="21" t="s">
        <v>41</v>
      </c>
      <c r="J5" s="21" t="s">
        <v>42</v>
      </c>
    </row>
    <row r="6" spans="1:10" x14ac:dyDescent="0.15">
      <c r="A6" s="20" t="s">
        <v>44</v>
      </c>
      <c r="B6" s="89" t="str">
        <f>IF('Your Revenues'!B12=0,"",'Your Revenues'!B12)</f>
        <v/>
      </c>
      <c r="C6" s="20" t="str">
        <f>IF(B6="","",ROUNDDOWN((Today-B6)/365.5,0))</f>
        <v/>
      </c>
      <c r="D6" s="21" t="str">
        <f>_xlfn.XLOOKUP(C6,$G$6:$G$10,$I$6:$I$10,0,-1)</f>
        <v>Loan not allowed</v>
      </c>
      <c r="E6" s="21" t="str">
        <f>IF(_xlfn.XLOOKUP(C6,$G$6:$G$10,$J$6:$J$10,0,-1)=$J$8,MAX(H8-C6,5),_xlfn.XLOOKUP(C6,$G$6:$G$10,$J$6:$J$10,0,-1))</f>
        <v>Loan not allowed</v>
      </c>
      <c r="G6" s="20">
        <v>0</v>
      </c>
      <c r="H6" s="20">
        <v>17</v>
      </c>
      <c r="I6" s="21" t="s">
        <v>51</v>
      </c>
      <c r="J6" s="21" t="s">
        <v>51</v>
      </c>
    </row>
    <row r="7" spans="1:10" x14ac:dyDescent="0.15">
      <c r="A7" s="20" t="s">
        <v>45</v>
      </c>
      <c r="B7" s="89" t="str">
        <f>IF('Your Revenues'!B17=0,"",'Your Revenues'!B17)</f>
        <v/>
      </c>
      <c r="C7" s="20" t="str">
        <f>IF(B7="","",ROUNDDOWN((Today-B7)/365.5,0))</f>
        <v/>
      </c>
      <c r="D7" s="21" t="str">
        <f>_xlfn.XLOOKUP(C7,$G$6:$G$10,$I$6:$I$10,0,-1)</f>
        <v>Loan not allowed</v>
      </c>
      <c r="E7" s="21" t="str">
        <f>IF(_xlfn.XLOOKUP(C7,$G$6:$G$10,$J$6:$J$10,0,-1)=$J$8,MAX(H9-C7,5),_xlfn.XLOOKUP(C7,$G$6:$G$10,$J$6:$J$10,0,-1))</f>
        <v>Loan not allowed</v>
      </c>
      <c r="G7" s="20">
        <v>18</v>
      </c>
      <c r="H7" s="20">
        <v>35</v>
      </c>
      <c r="I7" s="20">
        <v>5</v>
      </c>
      <c r="J7" s="20">
        <v>30</v>
      </c>
    </row>
    <row r="8" spans="1:10" x14ac:dyDescent="0.15">
      <c r="B8" s="10"/>
      <c r="G8" s="20">
        <v>36</v>
      </c>
      <c r="H8" s="20">
        <v>65</v>
      </c>
      <c r="I8" s="20">
        <v>5</v>
      </c>
      <c r="J8" s="21" t="s">
        <v>52</v>
      </c>
    </row>
    <row r="9" spans="1:10" x14ac:dyDescent="0.15">
      <c r="B9" s="20" t="s">
        <v>39</v>
      </c>
      <c r="C9" s="20" t="s">
        <v>41</v>
      </c>
      <c r="D9" s="20" t="s">
        <v>42</v>
      </c>
      <c r="G9" s="20">
        <v>65</v>
      </c>
      <c r="H9" s="20">
        <v>70</v>
      </c>
      <c r="I9" s="20">
        <v>5</v>
      </c>
      <c r="J9" s="20">
        <v>5</v>
      </c>
    </row>
    <row r="10" spans="1:10" x14ac:dyDescent="0.15">
      <c r="B10" s="20" t="s">
        <v>40</v>
      </c>
      <c r="C10" s="20" t="str">
        <f>D6</f>
        <v>Loan not allowed</v>
      </c>
      <c r="D10" s="20">
        <f>MIN(E6:E7)</f>
        <v>0</v>
      </c>
      <c r="G10" s="20">
        <v>71</v>
      </c>
      <c r="H10" s="20"/>
      <c r="I10" s="21" t="s">
        <v>51</v>
      </c>
      <c r="J10" s="21" t="s">
        <v>51</v>
      </c>
    </row>
    <row r="11" spans="1:10" ht="23.5" customHeight="1" x14ac:dyDescent="0.15">
      <c r="B11" s="10"/>
    </row>
    <row r="12" spans="1:10" s="90" customFormat="1" ht="15" customHeight="1" x14ac:dyDescent="0.15">
      <c r="A12" s="90" t="s">
        <v>194</v>
      </c>
    </row>
    <row r="13" spans="1:10" x14ac:dyDescent="0.15">
      <c r="B13" s="10"/>
    </row>
    <row r="14" spans="1:10" x14ac:dyDescent="0.15">
      <c r="A14" s="21" t="s">
        <v>57</v>
      </c>
      <c r="B14" s="92">
        <f>'Your Project'!D16</f>
        <v>0</v>
      </c>
      <c r="C14" s="93" t="s">
        <v>187</v>
      </c>
      <c r="E14" s="21" t="s">
        <v>205</v>
      </c>
      <c r="F14" s="22">
        <f>'Add Ins'!D10</f>
        <v>0</v>
      </c>
      <c r="H14" s="2" t="s">
        <v>206</v>
      </c>
      <c r="I14" s="2">
        <f>'Add Ins'!L16</f>
        <v>0</v>
      </c>
    </row>
    <row r="15" spans="1:10" x14ac:dyDescent="0.15">
      <c r="B15" s="10"/>
    </row>
    <row r="16" spans="1:10" x14ac:dyDescent="0.15">
      <c r="A16" s="20" t="s">
        <v>188</v>
      </c>
      <c r="B16" s="22" t="s">
        <v>189</v>
      </c>
      <c r="C16" s="94" t="s">
        <v>190</v>
      </c>
      <c r="D16" s="269" t="s">
        <v>191</v>
      </c>
      <c r="E16" s="269"/>
      <c r="G16" s="96" t="s">
        <v>193</v>
      </c>
      <c r="H16" s="269" t="s">
        <v>191</v>
      </c>
      <c r="I16" s="269"/>
    </row>
    <row r="17" spans="1:10" x14ac:dyDescent="0.15">
      <c r="A17" s="20" t="s">
        <v>44</v>
      </c>
      <c r="B17" s="22">
        <f>'Your Revenues'!N12</f>
        <v>0</v>
      </c>
      <c r="C17" s="98">
        <f>'Additional Information'!F12+'Additional Information'!J12+'Additional Information'!L12</f>
        <v>0</v>
      </c>
      <c r="D17" s="269">
        <f>B17-C17</f>
        <v>0</v>
      </c>
      <c r="E17" s="269"/>
      <c r="G17" s="97">
        <f>'Additional Information'!N12</f>
        <v>0</v>
      </c>
      <c r="H17" s="269">
        <f>IF(G17=0,D17,D17/(G17+1))</f>
        <v>0</v>
      </c>
      <c r="I17" s="269"/>
    </row>
    <row r="18" spans="1:10" x14ac:dyDescent="0.15">
      <c r="A18" s="20" t="s">
        <v>45</v>
      </c>
      <c r="B18" s="22" t="str">
        <f>'Your Revenues'!N17</f>
        <v/>
      </c>
      <c r="C18" s="98">
        <f>'Additional Information'!F17+'Additional Information'!J17+'Additional Information'!L17</f>
        <v>0</v>
      </c>
      <c r="D18" s="269">
        <f>IFERROR(B18-C18,0)</f>
        <v>0</v>
      </c>
      <c r="E18" s="269"/>
      <c r="G18" s="97">
        <f>'Additional Information'!N17</f>
        <v>0</v>
      </c>
      <c r="H18" s="269">
        <f>IF(G18=0,D18,D18/(G18+0.5))</f>
        <v>0</v>
      </c>
      <c r="I18" s="269"/>
    </row>
    <row r="19" spans="1:10" x14ac:dyDescent="0.15">
      <c r="B19" s="10"/>
    </row>
    <row r="20" spans="1:10" x14ac:dyDescent="0.15">
      <c r="A20" s="20"/>
      <c r="B20" s="20" t="s">
        <v>53</v>
      </c>
      <c r="C20" s="20" t="s">
        <v>54</v>
      </c>
      <c r="D20" s="21" t="s">
        <v>56</v>
      </c>
      <c r="E20" s="21" t="s">
        <v>55</v>
      </c>
    </row>
    <row r="21" spans="1:10" x14ac:dyDescent="0.15">
      <c r="A21" s="20" t="s">
        <v>44</v>
      </c>
      <c r="B21" s="22">
        <f>H17</f>
        <v>0</v>
      </c>
      <c r="C21" s="22">
        <f>B21*12</f>
        <v>0</v>
      </c>
      <c r="D21" s="23">
        <f>IF(B21=0,0,10000)</f>
        <v>0</v>
      </c>
      <c r="E21" s="23">
        <f>C21*5</f>
        <v>0</v>
      </c>
    </row>
    <row r="22" spans="1:10" x14ac:dyDescent="0.15">
      <c r="A22" s="20" t="s">
        <v>45</v>
      </c>
      <c r="B22" s="22">
        <f>H18</f>
        <v>0</v>
      </c>
      <c r="C22" s="22">
        <f>B22*12</f>
        <v>0</v>
      </c>
      <c r="D22" s="23">
        <f>IF(B22=0,0,MAX(10%*B14,10000))</f>
        <v>0</v>
      </c>
      <c r="E22" s="23">
        <f>C22*5</f>
        <v>0</v>
      </c>
    </row>
    <row r="23" spans="1:10" x14ac:dyDescent="0.15">
      <c r="A23" s="2" t="s">
        <v>58</v>
      </c>
      <c r="B23" s="10"/>
    </row>
    <row r="24" spans="1:10" x14ac:dyDescent="0.15">
      <c r="A24" s="21" t="s">
        <v>59</v>
      </c>
      <c r="B24" s="22">
        <f>IFERROR(B22+B21,B21)</f>
        <v>0</v>
      </c>
      <c r="C24" s="20">
        <f>B24*12</f>
        <v>0</v>
      </c>
      <c r="D24" s="23">
        <f>D21</f>
        <v>0</v>
      </c>
      <c r="E24" s="21">
        <f>C24*5</f>
        <v>0</v>
      </c>
    </row>
    <row r="25" spans="1:10" x14ac:dyDescent="0.15">
      <c r="B25" s="10"/>
    </row>
    <row r="26" spans="1:10" x14ac:dyDescent="0.15">
      <c r="B26" s="20" t="s">
        <v>39</v>
      </c>
      <c r="C26" s="20" t="s">
        <v>41</v>
      </c>
      <c r="D26" s="20" t="s">
        <v>42</v>
      </c>
      <c r="G26" s="21" t="s">
        <v>63</v>
      </c>
      <c r="H26" s="21" t="s">
        <v>61</v>
      </c>
      <c r="I26" s="21" t="str">
        <f>B20</f>
        <v>Monthly Income</v>
      </c>
      <c r="J26" s="21" t="s">
        <v>62</v>
      </c>
    </row>
    <row r="27" spans="1:10" x14ac:dyDescent="0.15">
      <c r="B27" s="20" t="s">
        <v>40</v>
      </c>
      <c r="C27" s="22">
        <f>D24</f>
        <v>0</v>
      </c>
      <c r="D27" s="22">
        <f>MIN(E24,B14)</f>
        <v>0</v>
      </c>
      <c r="G27" s="158">
        <v>0.3</v>
      </c>
      <c r="H27" s="21" t="str">
        <f>A21</f>
        <v>Borrower 1</v>
      </c>
      <c r="I27" s="23">
        <f>B21</f>
        <v>0</v>
      </c>
      <c r="J27" s="23">
        <f>I27*G27</f>
        <v>0</v>
      </c>
    </row>
    <row r="28" spans="1:10" x14ac:dyDescent="0.15">
      <c r="B28" s="10"/>
      <c r="G28" s="158">
        <v>0.3</v>
      </c>
      <c r="H28" s="21" t="str">
        <f>A22</f>
        <v>Borrower 2</v>
      </c>
      <c r="I28" s="23">
        <f>B22</f>
        <v>0</v>
      </c>
      <c r="J28" s="23">
        <f>I28*G28</f>
        <v>0</v>
      </c>
    </row>
    <row r="30" spans="1:10" x14ac:dyDescent="0.15">
      <c r="B30" s="19"/>
      <c r="C30" s="8"/>
      <c r="I30" s="21" t="s">
        <v>69</v>
      </c>
      <c r="J30" s="23">
        <f>IFERROR(J28+J27,J27)</f>
        <v>0</v>
      </c>
    </row>
    <row r="31" spans="1:10" x14ac:dyDescent="0.15">
      <c r="B31" s="19"/>
      <c r="C31" s="8"/>
    </row>
    <row r="32" spans="1:10" x14ac:dyDescent="0.15">
      <c r="B32" s="19"/>
      <c r="C32" s="8"/>
    </row>
    <row r="33" spans="1:180" s="90" customFormat="1" ht="15" customHeight="1" x14ac:dyDescent="0.15">
      <c r="A33" s="90" t="s">
        <v>197</v>
      </c>
    </row>
    <row r="34" spans="1:180" x14ac:dyDescent="0.15">
      <c r="B34" s="19"/>
      <c r="C34" s="8"/>
    </row>
    <row r="35" spans="1:180" x14ac:dyDescent="0.15">
      <c r="B35" s="100" t="s">
        <v>43</v>
      </c>
      <c r="C35" s="96" t="s">
        <v>68</v>
      </c>
    </row>
    <row r="36" spans="1:180" x14ac:dyDescent="0.15">
      <c r="A36" s="96" t="s">
        <v>64</v>
      </c>
      <c r="B36" s="99">
        <v>7.0000000000000007E-2</v>
      </c>
      <c r="C36" s="100">
        <v>1.5</v>
      </c>
      <c r="E36" s="20" t="s">
        <v>60</v>
      </c>
      <c r="F36" s="24">
        <v>0.01</v>
      </c>
      <c r="G36" s="23">
        <f>F36*B14</f>
        <v>0</v>
      </c>
    </row>
    <row r="37" spans="1:180" x14ac:dyDescent="0.15">
      <c r="A37" s="96" t="s">
        <v>41</v>
      </c>
      <c r="B37" s="99">
        <f>MIN(_xlfn.ANCHORARRAY(B43))*1.1</f>
        <v>7.7000000000000013E-2</v>
      </c>
    </row>
    <row r="38" spans="1:180" x14ac:dyDescent="0.15">
      <c r="A38" s="17"/>
      <c r="B38" s="10"/>
    </row>
    <row r="39" spans="1:180" s="28" customFormat="1" ht="26.5" customHeight="1" x14ac:dyDescent="0.15">
      <c r="B39" s="29" t="s">
        <v>70</v>
      </c>
      <c r="C39" s="28" t="e">
        <f t="shared" ref="C39:AH39" si="0">IF(C41=0,"",COUNTIFS(C43:C68,"&lt;&gt;0",C43:C68,"&lt;="&amp;$J$30))</f>
        <v>#DIV/0!</v>
      </c>
      <c r="D39" s="28" t="str">
        <f t="shared" si="0"/>
        <v/>
      </c>
      <c r="E39" s="28" t="str">
        <f t="shared" si="0"/>
        <v/>
      </c>
      <c r="F39" s="28" t="str">
        <f t="shared" si="0"/>
        <v/>
      </c>
      <c r="G39" s="28" t="str">
        <f t="shared" si="0"/>
        <v/>
      </c>
      <c r="H39" s="28" t="str">
        <f t="shared" si="0"/>
        <v/>
      </c>
      <c r="I39" s="28" t="str">
        <f t="shared" si="0"/>
        <v/>
      </c>
      <c r="J39" s="28" t="str">
        <f t="shared" si="0"/>
        <v/>
      </c>
      <c r="K39" s="28" t="str">
        <f t="shared" si="0"/>
        <v/>
      </c>
      <c r="L39" s="28" t="str">
        <f t="shared" si="0"/>
        <v/>
      </c>
      <c r="M39" s="28" t="str">
        <f t="shared" si="0"/>
        <v/>
      </c>
      <c r="N39" s="28" t="str">
        <f t="shared" si="0"/>
        <v/>
      </c>
      <c r="O39" s="28" t="str">
        <f t="shared" si="0"/>
        <v/>
      </c>
      <c r="P39" s="28" t="str">
        <f t="shared" si="0"/>
        <v/>
      </c>
      <c r="Q39" s="28" t="str">
        <f t="shared" si="0"/>
        <v/>
      </c>
      <c r="R39" s="28" t="str">
        <f t="shared" si="0"/>
        <v/>
      </c>
      <c r="S39" s="28" t="str">
        <f t="shared" si="0"/>
        <v/>
      </c>
      <c r="T39" s="28" t="str">
        <f t="shared" si="0"/>
        <v/>
      </c>
      <c r="U39" s="28" t="str">
        <f t="shared" si="0"/>
        <v/>
      </c>
      <c r="V39" s="28" t="str">
        <f t="shared" si="0"/>
        <v/>
      </c>
      <c r="W39" s="28" t="str">
        <f t="shared" si="0"/>
        <v/>
      </c>
      <c r="X39" s="28" t="str">
        <f t="shared" si="0"/>
        <v/>
      </c>
      <c r="Y39" s="28" t="str">
        <f t="shared" si="0"/>
        <v/>
      </c>
      <c r="Z39" s="28" t="str">
        <f t="shared" si="0"/>
        <v/>
      </c>
      <c r="AA39" s="28" t="str">
        <f t="shared" si="0"/>
        <v/>
      </c>
      <c r="AB39" s="28" t="str">
        <f t="shared" si="0"/>
        <v/>
      </c>
      <c r="AC39" s="28" t="str">
        <f t="shared" si="0"/>
        <v/>
      </c>
      <c r="AD39" s="28" t="str">
        <f t="shared" si="0"/>
        <v/>
      </c>
      <c r="AE39" s="28" t="str">
        <f t="shared" si="0"/>
        <v/>
      </c>
      <c r="AF39" s="28" t="str">
        <f t="shared" si="0"/>
        <v/>
      </c>
      <c r="AG39" s="28" t="str">
        <f t="shared" si="0"/>
        <v/>
      </c>
      <c r="AH39" s="28" t="str">
        <f t="shared" si="0"/>
        <v/>
      </c>
      <c r="AI39" s="28" t="str">
        <f t="shared" ref="AI39:BN39" si="1">IF(AI41=0,"",COUNTIFS(AI43:AI68,"&lt;&gt;0",AI43:AI68,"&lt;="&amp;$J$30))</f>
        <v/>
      </c>
      <c r="AJ39" s="28" t="str">
        <f t="shared" si="1"/>
        <v/>
      </c>
      <c r="AK39" s="28" t="str">
        <f t="shared" si="1"/>
        <v/>
      </c>
      <c r="AL39" s="28" t="str">
        <f t="shared" si="1"/>
        <v/>
      </c>
      <c r="AM39" s="28" t="str">
        <f t="shared" si="1"/>
        <v/>
      </c>
      <c r="AN39" s="28" t="str">
        <f t="shared" si="1"/>
        <v/>
      </c>
      <c r="AO39" s="28" t="str">
        <f t="shared" si="1"/>
        <v/>
      </c>
      <c r="AP39" s="28" t="str">
        <f t="shared" si="1"/>
        <v/>
      </c>
      <c r="AQ39" s="28" t="str">
        <f t="shared" si="1"/>
        <v/>
      </c>
      <c r="AR39" s="28" t="str">
        <f t="shared" si="1"/>
        <v/>
      </c>
      <c r="AS39" s="28" t="str">
        <f t="shared" si="1"/>
        <v/>
      </c>
      <c r="AT39" s="28" t="str">
        <f t="shared" si="1"/>
        <v/>
      </c>
      <c r="AU39" s="28" t="str">
        <f t="shared" si="1"/>
        <v/>
      </c>
      <c r="AV39" s="28" t="str">
        <f t="shared" si="1"/>
        <v/>
      </c>
      <c r="AW39" s="28" t="str">
        <f t="shared" si="1"/>
        <v/>
      </c>
      <c r="AX39" s="28" t="str">
        <f t="shared" si="1"/>
        <v/>
      </c>
      <c r="AY39" s="28" t="str">
        <f t="shared" si="1"/>
        <v/>
      </c>
      <c r="AZ39" s="28" t="str">
        <f t="shared" si="1"/>
        <v/>
      </c>
      <c r="BA39" s="28" t="str">
        <f t="shared" si="1"/>
        <v/>
      </c>
      <c r="BB39" s="28" t="str">
        <f t="shared" si="1"/>
        <v/>
      </c>
      <c r="BC39" s="28" t="str">
        <f t="shared" si="1"/>
        <v/>
      </c>
      <c r="BD39" s="28" t="str">
        <f t="shared" si="1"/>
        <v/>
      </c>
      <c r="BE39" s="28" t="str">
        <f t="shared" si="1"/>
        <v/>
      </c>
      <c r="BF39" s="28" t="str">
        <f t="shared" si="1"/>
        <v/>
      </c>
      <c r="BG39" s="28" t="str">
        <f t="shared" si="1"/>
        <v/>
      </c>
      <c r="BH39" s="28" t="str">
        <f t="shared" si="1"/>
        <v/>
      </c>
      <c r="BI39" s="28" t="str">
        <f t="shared" si="1"/>
        <v/>
      </c>
      <c r="BJ39" s="28" t="str">
        <f t="shared" si="1"/>
        <v/>
      </c>
      <c r="BK39" s="28" t="str">
        <f t="shared" si="1"/>
        <v/>
      </c>
      <c r="BL39" s="28" t="str">
        <f t="shared" si="1"/>
        <v/>
      </c>
      <c r="BM39" s="28" t="str">
        <f t="shared" si="1"/>
        <v/>
      </c>
      <c r="BN39" s="28" t="str">
        <f t="shared" si="1"/>
        <v/>
      </c>
      <c r="BO39" s="28" t="str">
        <f t="shared" ref="BO39:CT39" si="2">IF(BO41=0,"",COUNTIFS(BO43:BO68,"&lt;&gt;0",BO43:BO68,"&lt;="&amp;$J$30))</f>
        <v/>
      </c>
      <c r="BP39" s="28" t="str">
        <f t="shared" si="2"/>
        <v/>
      </c>
      <c r="BQ39" s="28" t="str">
        <f t="shared" si="2"/>
        <v/>
      </c>
      <c r="BR39" s="28" t="str">
        <f t="shared" si="2"/>
        <v/>
      </c>
      <c r="BS39" s="28" t="str">
        <f t="shared" si="2"/>
        <v/>
      </c>
      <c r="BT39" s="28" t="str">
        <f t="shared" si="2"/>
        <v/>
      </c>
      <c r="BU39" s="28" t="str">
        <f t="shared" si="2"/>
        <v/>
      </c>
      <c r="BV39" s="28" t="str">
        <f t="shared" si="2"/>
        <v/>
      </c>
      <c r="BW39" s="28" t="str">
        <f t="shared" si="2"/>
        <v/>
      </c>
      <c r="BX39" s="28" t="str">
        <f t="shared" si="2"/>
        <v/>
      </c>
      <c r="BY39" s="28" t="str">
        <f t="shared" si="2"/>
        <v/>
      </c>
      <c r="BZ39" s="28" t="str">
        <f t="shared" si="2"/>
        <v/>
      </c>
      <c r="CA39" s="28" t="str">
        <f t="shared" si="2"/>
        <v/>
      </c>
      <c r="CB39" s="28" t="str">
        <f t="shared" si="2"/>
        <v/>
      </c>
      <c r="CC39" s="28" t="str">
        <f t="shared" si="2"/>
        <v/>
      </c>
      <c r="CD39" s="28" t="str">
        <f t="shared" si="2"/>
        <v/>
      </c>
      <c r="CE39" s="28" t="str">
        <f t="shared" si="2"/>
        <v/>
      </c>
      <c r="CF39" s="28" t="str">
        <f t="shared" si="2"/>
        <v/>
      </c>
      <c r="CG39" s="28" t="str">
        <f t="shared" si="2"/>
        <v/>
      </c>
      <c r="CH39" s="28" t="str">
        <f t="shared" si="2"/>
        <v/>
      </c>
      <c r="CI39" s="28" t="str">
        <f t="shared" si="2"/>
        <v/>
      </c>
      <c r="CJ39" s="28" t="str">
        <f t="shared" si="2"/>
        <v/>
      </c>
      <c r="CK39" s="28" t="str">
        <f t="shared" si="2"/>
        <v/>
      </c>
      <c r="CL39" s="28" t="str">
        <f t="shared" si="2"/>
        <v/>
      </c>
      <c r="CM39" s="28" t="str">
        <f t="shared" si="2"/>
        <v/>
      </c>
      <c r="CN39" s="28" t="str">
        <f t="shared" si="2"/>
        <v/>
      </c>
      <c r="CO39" s="28" t="str">
        <f t="shared" si="2"/>
        <v/>
      </c>
      <c r="CP39" s="28" t="str">
        <f t="shared" si="2"/>
        <v/>
      </c>
      <c r="CQ39" s="28" t="str">
        <f t="shared" si="2"/>
        <v/>
      </c>
      <c r="CR39" s="28" t="str">
        <f t="shared" si="2"/>
        <v/>
      </c>
      <c r="CS39" s="28" t="str">
        <f t="shared" si="2"/>
        <v/>
      </c>
      <c r="CT39" s="28" t="str">
        <f t="shared" si="2"/>
        <v/>
      </c>
      <c r="CU39" s="28" t="str">
        <f t="shared" ref="CU39:DZ39" si="3">IF(CU41=0,"",COUNTIFS(CU43:CU68,"&lt;&gt;0",CU43:CU68,"&lt;="&amp;$J$30))</f>
        <v/>
      </c>
      <c r="CV39" s="28" t="str">
        <f t="shared" si="3"/>
        <v/>
      </c>
      <c r="CW39" s="28" t="str">
        <f t="shared" si="3"/>
        <v/>
      </c>
      <c r="CX39" s="28" t="str">
        <f t="shared" si="3"/>
        <v/>
      </c>
      <c r="CY39" s="28" t="str">
        <f t="shared" si="3"/>
        <v/>
      </c>
      <c r="CZ39" s="28" t="str">
        <f t="shared" si="3"/>
        <v/>
      </c>
      <c r="DA39" s="28" t="str">
        <f t="shared" si="3"/>
        <v/>
      </c>
      <c r="DB39" s="28" t="str">
        <f t="shared" si="3"/>
        <v/>
      </c>
      <c r="DC39" s="28" t="str">
        <f t="shared" si="3"/>
        <v/>
      </c>
      <c r="DD39" s="28" t="str">
        <f t="shared" si="3"/>
        <v/>
      </c>
      <c r="DE39" s="28" t="str">
        <f t="shared" si="3"/>
        <v/>
      </c>
      <c r="DF39" s="28" t="str">
        <f t="shared" si="3"/>
        <v/>
      </c>
      <c r="DG39" s="28" t="str">
        <f t="shared" si="3"/>
        <v/>
      </c>
      <c r="DH39" s="28" t="str">
        <f t="shared" si="3"/>
        <v/>
      </c>
      <c r="DI39" s="28" t="str">
        <f t="shared" si="3"/>
        <v/>
      </c>
      <c r="DJ39" s="28" t="str">
        <f t="shared" si="3"/>
        <v/>
      </c>
      <c r="DK39" s="28" t="str">
        <f t="shared" si="3"/>
        <v/>
      </c>
      <c r="DL39" s="28" t="str">
        <f t="shared" si="3"/>
        <v/>
      </c>
      <c r="DM39" s="28" t="str">
        <f t="shared" si="3"/>
        <v/>
      </c>
      <c r="DN39" s="28" t="str">
        <f t="shared" si="3"/>
        <v/>
      </c>
      <c r="DO39" s="28" t="str">
        <f t="shared" si="3"/>
        <v/>
      </c>
      <c r="DP39" s="28" t="str">
        <f t="shared" si="3"/>
        <v/>
      </c>
      <c r="DQ39" s="28" t="str">
        <f t="shared" si="3"/>
        <v/>
      </c>
      <c r="DR39" s="28" t="str">
        <f t="shared" si="3"/>
        <v/>
      </c>
      <c r="DS39" s="28" t="str">
        <f t="shared" si="3"/>
        <v/>
      </c>
      <c r="DT39" s="28" t="str">
        <f t="shared" si="3"/>
        <v/>
      </c>
      <c r="DU39" s="28" t="str">
        <f t="shared" si="3"/>
        <v/>
      </c>
      <c r="DV39" s="28" t="str">
        <f t="shared" si="3"/>
        <v/>
      </c>
      <c r="DW39" s="28" t="str">
        <f t="shared" si="3"/>
        <v/>
      </c>
      <c r="DX39" s="28" t="str">
        <f t="shared" si="3"/>
        <v/>
      </c>
      <c r="DY39" s="28" t="str">
        <f t="shared" si="3"/>
        <v/>
      </c>
      <c r="DZ39" s="28" t="str">
        <f t="shared" si="3"/>
        <v/>
      </c>
      <c r="EA39" s="28" t="str">
        <f t="shared" ref="EA39:FF39" si="4">IF(EA41=0,"",COUNTIFS(EA43:EA68,"&lt;&gt;0",EA43:EA68,"&lt;="&amp;$J$30))</f>
        <v/>
      </c>
      <c r="EB39" s="28" t="str">
        <f t="shared" si="4"/>
        <v/>
      </c>
      <c r="EC39" s="28" t="str">
        <f t="shared" si="4"/>
        <v/>
      </c>
      <c r="ED39" s="28" t="str">
        <f t="shared" si="4"/>
        <v/>
      </c>
      <c r="EE39" s="28" t="str">
        <f t="shared" si="4"/>
        <v/>
      </c>
      <c r="EF39" s="28" t="str">
        <f t="shared" si="4"/>
        <v/>
      </c>
      <c r="EG39" s="28" t="str">
        <f t="shared" si="4"/>
        <v/>
      </c>
      <c r="EH39" s="28" t="str">
        <f t="shared" si="4"/>
        <v/>
      </c>
      <c r="EI39" s="28" t="str">
        <f t="shared" si="4"/>
        <v/>
      </c>
      <c r="EJ39" s="28" t="str">
        <f t="shared" si="4"/>
        <v/>
      </c>
      <c r="EK39" s="28" t="str">
        <f t="shared" si="4"/>
        <v/>
      </c>
      <c r="EL39" s="28" t="str">
        <f t="shared" si="4"/>
        <v/>
      </c>
      <c r="EM39" s="28" t="str">
        <f t="shared" si="4"/>
        <v/>
      </c>
      <c r="EN39" s="28" t="str">
        <f t="shared" si="4"/>
        <v/>
      </c>
      <c r="EO39" s="28" t="str">
        <f t="shared" si="4"/>
        <v/>
      </c>
      <c r="EP39" s="28" t="str">
        <f t="shared" si="4"/>
        <v/>
      </c>
      <c r="EQ39" s="28" t="str">
        <f t="shared" si="4"/>
        <v/>
      </c>
      <c r="ER39" s="28" t="str">
        <f t="shared" si="4"/>
        <v/>
      </c>
      <c r="ES39" s="28" t="str">
        <f t="shared" si="4"/>
        <v/>
      </c>
      <c r="ET39" s="28" t="str">
        <f t="shared" si="4"/>
        <v/>
      </c>
      <c r="EU39" s="28" t="str">
        <f t="shared" si="4"/>
        <v/>
      </c>
      <c r="EV39" s="28" t="str">
        <f t="shared" si="4"/>
        <v/>
      </c>
      <c r="EW39" s="28" t="str">
        <f t="shared" si="4"/>
        <v/>
      </c>
      <c r="EX39" s="28" t="str">
        <f t="shared" si="4"/>
        <v/>
      </c>
      <c r="EY39" s="28" t="str">
        <f t="shared" si="4"/>
        <v/>
      </c>
      <c r="EZ39" s="28" t="str">
        <f t="shared" si="4"/>
        <v/>
      </c>
      <c r="FA39" s="28" t="str">
        <f t="shared" si="4"/>
        <v/>
      </c>
      <c r="FB39" s="28" t="str">
        <f t="shared" si="4"/>
        <v/>
      </c>
      <c r="FC39" s="28" t="str">
        <f t="shared" si="4"/>
        <v/>
      </c>
      <c r="FD39" s="28" t="str">
        <f t="shared" si="4"/>
        <v/>
      </c>
      <c r="FE39" s="28" t="str">
        <f t="shared" si="4"/>
        <v/>
      </c>
      <c r="FF39" s="28" t="str">
        <f t="shared" si="4"/>
        <v/>
      </c>
      <c r="FG39" s="28" t="str">
        <f t="shared" ref="FG39:FX39" si="5">IF(FG41=0,"",COUNTIFS(FG43:FG68,"&lt;&gt;0",FG43:FG68,"&lt;="&amp;$J$30))</f>
        <v/>
      </c>
      <c r="FH39" s="28" t="str">
        <f t="shared" si="5"/>
        <v/>
      </c>
      <c r="FI39" s="28" t="str">
        <f t="shared" si="5"/>
        <v/>
      </c>
      <c r="FJ39" s="28" t="str">
        <f t="shared" si="5"/>
        <v/>
      </c>
      <c r="FK39" s="28" t="str">
        <f t="shared" si="5"/>
        <v/>
      </c>
      <c r="FL39" s="28" t="str">
        <f t="shared" si="5"/>
        <v/>
      </c>
      <c r="FM39" s="28" t="str">
        <f t="shared" si="5"/>
        <v/>
      </c>
      <c r="FN39" s="28" t="str">
        <f t="shared" si="5"/>
        <v/>
      </c>
      <c r="FO39" s="28" t="str">
        <f t="shared" si="5"/>
        <v/>
      </c>
      <c r="FP39" s="28" t="str">
        <f t="shared" si="5"/>
        <v/>
      </c>
      <c r="FQ39" s="28" t="str">
        <f t="shared" si="5"/>
        <v/>
      </c>
      <c r="FR39" s="28" t="str">
        <f t="shared" si="5"/>
        <v/>
      </c>
      <c r="FS39" s="28" t="str">
        <f t="shared" si="5"/>
        <v/>
      </c>
      <c r="FT39" s="28" t="str">
        <f t="shared" si="5"/>
        <v/>
      </c>
      <c r="FU39" s="28" t="str">
        <f t="shared" si="5"/>
        <v/>
      </c>
      <c r="FV39" s="28" t="str">
        <f t="shared" si="5"/>
        <v/>
      </c>
      <c r="FW39" s="28" t="str">
        <f t="shared" si="5"/>
        <v/>
      </c>
      <c r="FX39" s="28" t="str">
        <f t="shared" si="5"/>
        <v/>
      </c>
    </row>
    <row r="40" spans="1:180" s="28" customFormat="1" ht="26.5" customHeight="1" x14ac:dyDescent="0.15">
      <c r="B40" s="29" t="s">
        <v>100</v>
      </c>
      <c r="C40" s="28" t="e">
        <f t="shared" ref="C40:AH40" si="6">IF(C41=0,"",COUNTIFS(C43:C68,"&lt;&gt;0",C43:C68,"&gt;="&amp;$J$30))</f>
        <v>#DIV/0!</v>
      </c>
      <c r="D40" s="28" t="str">
        <f t="shared" si="6"/>
        <v/>
      </c>
      <c r="E40" s="28" t="str">
        <f t="shared" si="6"/>
        <v/>
      </c>
      <c r="F40" s="28" t="str">
        <f t="shared" si="6"/>
        <v/>
      </c>
      <c r="G40" s="28" t="str">
        <f t="shared" si="6"/>
        <v/>
      </c>
      <c r="H40" s="28" t="str">
        <f t="shared" si="6"/>
        <v/>
      </c>
      <c r="I40" s="28" t="str">
        <f t="shared" si="6"/>
        <v/>
      </c>
      <c r="J40" s="28" t="str">
        <f t="shared" si="6"/>
        <v/>
      </c>
      <c r="K40" s="28" t="str">
        <f t="shared" si="6"/>
        <v/>
      </c>
      <c r="L40" s="28" t="str">
        <f t="shared" si="6"/>
        <v/>
      </c>
      <c r="M40" s="28" t="str">
        <f t="shared" si="6"/>
        <v/>
      </c>
      <c r="N40" s="28" t="str">
        <f t="shared" si="6"/>
        <v/>
      </c>
      <c r="O40" s="28" t="str">
        <f t="shared" si="6"/>
        <v/>
      </c>
      <c r="P40" s="28" t="str">
        <f t="shared" si="6"/>
        <v/>
      </c>
      <c r="Q40" s="28" t="str">
        <f t="shared" si="6"/>
        <v/>
      </c>
      <c r="R40" s="28" t="str">
        <f t="shared" si="6"/>
        <v/>
      </c>
      <c r="S40" s="28" t="str">
        <f t="shared" si="6"/>
        <v/>
      </c>
      <c r="T40" s="28" t="str">
        <f t="shared" si="6"/>
        <v/>
      </c>
      <c r="U40" s="28" t="str">
        <f t="shared" si="6"/>
        <v/>
      </c>
      <c r="V40" s="28" t="str">
        <f t="shared" si="6"/>
        <v/>
      </c>
      <c r="W40" s="28" t="str">
        <f t="shared" si="6"/>
        <v/>
      </c>
      <c r="X40" s="28" t="str">
        <f t="shared" si="6"/>
        <v/>
      </c>
      <c r="Y40" s="28" t="str">
        <f t="shared" si="6"/>
        <v/>
      </c>
      <c r="Z40" s="28" t="str">
        <f t="shared" si="6"/>
        <v/>
      </c>
      <c r="AA40" s="28" t="str">
        <f t="shared" si="6"/>
        <v/>
      </c>
      <c r="AB40" s="28" t="str">
        <f t="shared" si="6"/>
        <v/>
      </c>
      <c r="AC40" s="28" t="str">
        <f t="shared" si="6"/>
        <v/>
      </c>
      <c r="AD40" s="28" t="str">
        <f t="shared" si="6"/>
        <v/>
      </c>
      <c r="AE40" s="28" t="str">
        <f t="shared" si="6"/>
        <v/>
      </c>
      <c r="AF40" s="28" t="str">
        <f t="shared" si="6"/>
        <v/>
      </c>
      <c r="AG40" s="28" t="str">
        <f t="shared" si="6"/>
        <v/>
      </c>
      <c r="AH40" s="28" t="str">
        <f t="shared" si="6"/>
        <v/>
      </c>
      <c r="AI40" s="28" t="str">
        <f t="shared" ref="AI40:BN40" si="7">IF(AI41=0,"",COUNTIFS(AI43:AI68,"&lt;&gt;0",AI43:AI68,"&gt;="&amp;$J$30))</f>
        <v/>
      </c>
      <c r="AJ40" s="28" t="str">
        <f t="shared" si="7"/>
        <v/>
      </c>
      <c r="AK40" s="28" t="str">
        <f t="shared" si="7"/>
        <v/>
      </c>
      <c r="AL40" s="28" t="str">
        <f t="shared" si="7"/>
        <v/>
      </c>
      <c r="AM40" s="28" t="str">
        <f t="shared" si="7"/>
        <v/>
      </c>
      <c r="AN40" s="28" t="str">
        <f t="shared" si="7"/>
        <v/>
      </c>
      <c r="AO40" s="28" t="str">
        <f t="shared" si="7"/>
        <v/>
      </c>
      <c r="AP40" s="28" t="str">
        <f t="shared" si="7"/>
        <v/>
      </c>
      <c r="AQ40" s="28" t="str">
        <f t="shared" si="7"/>
        <v/>
      </c>
      <c r="AR40" s="28" t="str">
        <f t="shared" si="7"/>
        <v/>
      </c>
      <c r="AS40" s="28" t="str">
        <f t="shared" si="7"/>
        <v/>
      </c>
      <c r="AT40" s="28" t="str">
        <f t="shared" si="7"/>
        <v/>
      </c>
      <c r="AU40" s="28" t="str">
        <f t="shared" si="7"/>
        <v/>
      </c>
      <c r="AV40" s="28" t="str">
        <f t="shared" si="7"/>
        <v/>
      </c>
      <c r="AW40" s="28" t="str">
        <f t="shared" si="7"/>
        <v/>
      </c>
      <c r="AX40" s="28" t="str">
        <f t="shared" si="7"/>
        <v/>
      </c>
      <c r="AY40" s="28" t="str">
        <f t="shared" si="7"/>
        <v/>
      </c>
      <c r="AZ40" s="28" t="str">
        <f t="shared" si="7"/>
        <v/>
      </c>
      <c r="BA40" s="28" t="str">
        <f t="shared" si="7"/>
        <v/>
      </c>
      <c r="BB40" s="28" t="str">
        <f t="shared" si="7"/>
        <v/>
      </c>
      <c r="BC40" s="28" t="str">
        <f t="shared" si="7"/>
        <v/>
      </c>
      <c r="BD40" s="28" t="str">
        <f t="shared" si="7"/>
        <v/>
      </c>
      <c r="BE40" s="28" t="str">
        <f t="shared" si="7"/>
        <v/>
      </c>
      <c r="BF40" s="28" t="str">
        <f t="shared" si="7"/>
        <v/>
      </c>
      <c r="BG40" s="28" t="str">
        <f t="shared" si="7"/>
        <v/>
      </c>
      <c r="BH40" s="28" t="str">
        <f t="shared" si="7"/>
        <v/>
      </c>
      <c r="BI40" s="28" t="str">
        <f t="shared" si="7"/>
        <v/>
      </c>
      <c r="BJ40" s="28" t="str">
        <f t="shared" si="7"/>
        <v/>
      </c>
      <c r="BK40" s="28" t="str">
        <f t="shared" si="7"/>
        <v/>
      </c>
      <c r="BL40" s="28" t="str">
        <f t="shared" si="7"/>
        <v/>
      </c>
      <c r="BM40" s="28" t="str">
        <f t="shared" si="7"/>
        <v/>
      </c>
      <c r="BN40" s="28" t="str">
        <f t="shared" si="7"/>
        <v/>
      </c>
      <c r="BO40" s="28" t="str">
        <f t="shared" ref="BO40:CT40" si="8">IF(BO41=0,"",COUNTIFS(BO43:BO68,"&lt;&gt;0",BO43:BO68,"&gt;="&amp;$J$30))</f>
        <v/>
      </c>
      <c r="BP40" s="28" t="str">
        <f t="shared" si="8"/>
        <v/>
      </c>
      <c r="BQ40" s="28" t="str">
        <f t="shared" si="8"/>
        <v/>
      </c>
      <c r="BR40" s="28" t="str">
        <f t="shared" si="8"/>
        <v/>
      </c>
      <c r="BS40" s="28" t="str">
        <f t="shared" si="8"/>
        <v/>
      </c>
      <c r="BT40" s="28" t="str">
        <f t="shared" si="8"/>
        <v/>
      </c>
      <c r="BU40" s="28" t="str">
        <f t="shared" si="8"/>
        <v/>
      </c>
      <c r="BV40" s="28" t="str">
        <f t="shared" si="8"/>
        <v/>
      </c>
      <c r="BW40" s="28" t="str">
        <f t="shared" si="8"/>
        <v/>
      </c>
      <c r="BX40" s="28" t="str">
        <f t="shared" si="8"/>
        <v/>
      </c>
      <c r="BY40" s="28" t="str">
        <f t="shared" si="8"/>
        <v/>
      </c>
      <c r="BZ40" s="28" t="str">
        <f t="shared" si="8"/>
        <v/>
      </c>
      <c r="CA40" s="28" t="str">
        <f t="shared" si="8"/>
        <v/>
      </c>
      <c r="CB40" s="28" t="str">
        <f t="shared" si="8"/>
        <v/>
      </c>
      <c r="CC40" s="28" t="str">
        <f t="shared" si="8"/>
        <v/>
      </c>
      <c r="CD40" s="28" t="str">
        <f t="shared" si="8"/>
        <v/>
      </c>
      <c r="CE40" s="28" t="str">
        <f t="shared" si="8"/>
        <v/>
      </c>
      <c r="CF40" s="28" t="str">
        <f t="shared" si="8"/>
        <v/>
      </c>
      <c r="CG40" s="28" t="str">
        <f t="shared" si="8"/>
        <v/>
      </c>
      <c r="CH40" s="28" t="str">
        <f t="shared" si="8"/>
        <v/>
      </c>
      <c r="CI40" s="28" t="str">
        <f t="shared" si="8"/>
        <v/>
      </c>
      <c r="CJ40" s="28" t="str">
        <f t="shared" si="8"/>
        <v/>
      </c>
      <c r="CK40" s="28" t="str">
        <f t="shared" si="8"/>
        <v/>
      </c>
      <c r="CL40" s="28" t="str">
        <f t="shared" si="8"/>
        <v/>
      </c>
      <c r="CM40" s="28" t="str">
        <f t="shared" si="8"/>
        <v/>
      </c>
      <c r="CN40" s="28" t="str">
        <f t="shared" si="8"/>
        <v/>
      </c>
      <c r="CO40" s="28" t="str">
        <f t="shared" si="8"/>
        <v/>
      </c>
      <c r="CP40" s="28" t="str">
        <f t="shared" si="8"/>
        <v/>
      </c>
      <c r="CQ40" s="28" t="str">
        <f t="shared" si="8"/>
        <v/>
      </c>
      <c r="CR40" s="28" t="str">
        <f t="shared" si="8"/>
        <v/>
      </c>
      <c r="CS40" s="28" t="str">
        <f t="shared" si="8"/>
        <v/>
      </c>
      <c r="CT40" s="28" t="str">
        <f t="shared" si="8"/>
        <v/>
      </c>
      <c r="CU40" s="28" t="str">
        <f t="shared" ref="CU40:DZ40" si="9">IF(CU41=0,"",COUNTIFS(CU43:CU68,"&lt;&gt;0",CU43:CU68,"&gt;="&amp;$J$30))</f>
        <v/>
      </c>
      <c r="CV40" s="28" t="str">
        <f t="shared" si="9"/>
        <v/>
      </c>
      <c r="CW40" s="28" t="str">
        <f t="shared" si="9"/>
        <v/>
      </c>
      <c r="CX40" s="28" t="str">
        <f t="shared" si="9"/>
        <v/>
      </c>
      <c r="CY40" s="28" t="str">
        <f t="shared" si="9"/>
        <v/>
      </c>
      <c r="CZ40" s="28" t="str">
        <f t="shared" si="9"/>
        <v/>
      </c>
      <c r="DA40" s="28" t="str">
        <f t="shared" si="9"/>
        <v/>
      </c>
      <c r="DB40" s="28" t="str">
        <f t="shared" si="9"/>
        <v/>
      </c>
      <c r="DC40" s="28" t="str">
        <f t="shared" si="9"/>
        <v/>
      </c>
      <c r="DD40" s="28" t="str">
        <f t="shared" si="9"/>
        <v/>
      </c>
      <c r="DE40" s="28" t="str">
        <f t="shared" si="9"/>
        <v/>
      </c>
      <c r="DF40" s="28" t="str">
        <f t="shared" si="9"/>
        <v/>
      </c>
      <c r="DG40" s="28" t="str">
        <f t="shared" si="9"/>
        <v/>
      </c>
      <c r="DH40" s="28" t="str">
        <f t="shared" si="9"/>
        <v/>
      </c>
      <c r="DI40" s="28" t="str">
        <f t="shared" si="9"/>
        <v/>
      </c>
      <c r="DJ40" s="28" t="str">
        <f t="shared" si="9"/>
        <v/>
      </c>
      <c r="DK40" s="28" t="str">
        <f t="shared" si="9"/>
        <v/>
      </c>
      <c r="DL40" s="28" t="str">
        <f t="shared" si="9"/>
        <v/>
      </c>
      <c r="DM40" s="28" t="str">
        <f t="shared" si="9"/>
        <v/>
      </c>
      <c r="DN40" s="28" t="str">
        <f t="shared" si="9"/>
        <v/>
      </c>
      <c r="DO40" s="28" t="str">
        <f t="shared" si="9"/>
        <v/>
      </c>
      <c r="DP40" s="28" t="str">
        <f t="shared" si="9"/>
        <v/>
      </c>
      <c r="DQ40" s="28" t="str">
        <f t="shared" si="9"/>
        <v/>
      </c>
      <c r="DR40" s="28" t="str">
        <f t="shared" si="9"/>
        <v/>
      </c>
      <c r="DS40" s="28" t="str">
        <f t="shared" si="9"/>
        <v/>
      </c>
      <c r="DT40" s="28" t="str">
        <f t="shared" si="9"/>
        <v/>
      </c>
      <c r="DU40" s="28" t="str">
        <f t="shared" si="9"/>
        <v/>
      </c>
      <c r="DV40" s="28" t="str">
        <f t="shared" si="9"/>
        <v/>
      </c>
      <c r="DW40" s="28" t="str">
        <f t="shared" si="9"/>
        <v/>
      </c>
      <c r="DX40" s="28" t="str">
        <f t="shared" si="9"/>
        <v/>
      </c>
      <c r="DY40" s="28" t="str">
        <f t="shared" si="9"/>
        <v/>
      </c>
      <c r="DZ40" s="28" t="str">
        <f t="shared" si="9"/>
        <v/>
      </c>
      <c r="EA40" s="28" t="str">
        <f t="shared" ref="EA40:FF40" si="10">IF(EA41=0,"",COUNTIFS(EA43:EA68,"&lt;&gt;0",EA43:EA68,"&gt;="&amp;$J$30))</f>
        <v/>
      </c>
      <c r="EB40" s="28" t="str">
        <f t="shared" si="10"/>
        <v/>
      </c>
      <c r="EC40" s="28" t="str">
        <f t="shared" si="10"/>
        <v/>
      </c>
      <c r="ED40" s="28" t="str">
        <f t="shared" si="10"/>
        <v/>
      </c>
      <c r="EE40" s="28" t="str">
        <f t="shared" si="10"/>
        <v/>
      </c>
      <c r="EF40" s="28" t="str">
        <f t="shared" si="10"/>
        <v/>
      </c>
      <c r="EG40" s="28" t="str">
        <f t="shared" si="10"/>
        <v/>
      </c>
      <c r="EH40" s="28" t="str">
        <f t="shared" si="10"/>
        <v/>
      </c>
      <c r="EI40" s="28" t="str">
        <f t="shared" si="10"/>
        <v/>
      </c>
      <c r="EJ40" s="28" t="str">
        <f t="shared" si="10"/>
        <v/>
      </c>
      <c r="EK40" s="28" t="str">
        <f t="shared" si="10"/>
        <v/>
      </c>
      <c r="EL40" s="28" t="str">
        <f t="shared" si="10"/>
        <v/>
      </c>
      <c r="EM40" s="28" t="str">
        <f t="shared" si="10"/>
        <v/>
      </c>
      <c r="EN40" s="28" t="str">
        <f t="shared" si="10"/>
        <v/>
      </c>
      <c r="EO40" s="28" t="str">
        <f t="shared" si="10"/>
        <v/>
      </c>
      <c r="EP40" s="28" t="str">
        <f t="shared" si="10"/>
        <v/>
      </c>
      <c r="EQ40" s="28" t="str">
        <f t="shared" si="10"/>
        <v/>
      </c>
      <c r="ER40" s="28" t="str">
        <f t="shared" si="10"/>
        <v/>
      </c>
      <c r="ES40" s="28" t="str">
        <f t="shared" si="10"/>
        <v/>
      </c>
      <c r="ET40" s="28" t="str">
        <f t="shared" si="10"/>
        <v/>
      </c>
      <c r="EU40" s="28" t="str">
        <f t="shared" si="10"/>
        <v/>
      </c>
      <c r="EV40" s="28" t="str">
        <f t="shared" si="10"/>
        <v/>
      </c>
      <c r="EW40" s="28" t="str">
        <f t="shared" si="10"/>
        <v/>
      </c>
      <c r="EX40" s="28" t="str">
        <f t="shared" si="10"/>
        <v/>
      </c>
      <c r="EY40" s="28" t="str">
        <f t="shared" si="10"/>
        <v/>
      </c>
      <c r="EZ40" s="28" t="str">
        <f t="shared" si="10"/>
        <v/>
      </c>
      <c r="FA40" s="28" t="str">
        <f t="shared" si="10"/>
        <v/>
      </c>
      <c r="FB40" s="28" t="str">
        <f t="shared" si="10"/>
        <v/>
      </c>
      <c r="FC40" s="28" t="str">
        <f t="shared" si="10"/>
        <v/>
      </c>
      <c r="FD40" s="28" t="str">
        <f t="shared" si="10"/>
        <v/>
      </c>
      <c r="FE40" s="28" t="str">
        <f t="shared" si="10"/>
        <v/>
      </c>
      <c r="FF40" s="28" t="str">
        <f t="shared" si="10"/>
        <v/>
      </c>
      <c r="FG40" s="28" t="str">
        <f t="shared" ref="FG40:FX40" si="11">IF(FG41=0,"",COUNTIFS(FG43:FG68,"&lt;&gt;0",FG43:FG68,"&gt;="&amp;$J$30))</f>
        <v/>
      </c>
      <c r="FH40" s="28" t="str">
        <f t="shared" si="11"/>
        <v/>
      </c>
      <c r="FI40" s="28" t="str">
        <f t="shared" si="11"/>
        <v/>
      </c>
      <c r="FJ40" s="28" t="str">
        <f t="shared" si="11"/>
        <v/>
      </c>
      <c r="FK40" s="28" t="str">
        <f t="shared" si="11"/>
        <v/>
      </c>
      <c r="FL40" s="28" t="str">
        <f t="shared" si="11"/>
        <v/>
      </c>
      <c r="FM40" s="28" t="str">
        <f t="shared" si="11"/>
        <v/>
      </c>
      <c r="FN40" s="28" t="str">
        <f t="shared" si="11"/>
        <v/>
      </c>
      <c r="FO40" s="28" t="str">
        <f t="shared" si="11"/>
        <v/>
      </c>
      <c r="FP40" s="28" t="str">
        <f t="shared" si="11"/>
        <v/>
      </c>
      <c r="FQ40" s="28" t="str">
        <f t="shared" si="11"/>
        <v/>
      </c>
      <c r="FR40" s="28" t="str">
        <f t="shared" si="11"/>
        <v/>
      </c>
      <c r="FS40" s="28" t="str">
        <f t="shared" si="11"/>
        <v/>
      </c>
      <c r="FT40" s="28" t="str">
        <f t="shared" si="11"/>
        <v/>
      </c>
      <c r="FU40" s="28" t="str">
        <f t="shared" si="11"/>
        <v/>
      </c>
      <c r="FV40" s="28" t="str">
        <f t="shared" si="11"/>
        <v/>
      </c>
      <c r="FW40" s="28" t="str">
        <f t="shared" si="11"/>
        <v/>
      </c>
      <c r="FX40" s="28" t="str">
        <f t="shared" si="11"/>
        <v/>
      </c>
    </row>
    <row r="41" spans="1:180" s="14" customFormat="1" ht="20.5" customHeight="1" x14ac:dyDescent="0.15">
      <c r="B41" s="14" t="s">
        <v>67</v>
      </c>
      <c r="C41" s="14" t="e" cm="1">
        <f t="array" ref="C41">_xlfn.SEQUENCE(1,(B14/G36)-C27/G36,C27,G36)</f>
        <v>#DIV/0!</v>
      </c>
    </row>
    <row r="42" spans="1:180" s="15" customFormat="1" ht="26.5" customHeight="1" x14ac:dyDescent="0.15">
      <c r="A42" s="15" t="s">
        <v>66</v>
      </c>
      <c r="B42" s="16" t="s">
        <v>65</v>
      </c>
      <c r="C42" s="15" t="e" cm="1">
        <f t="array" ref="C42">_xlfn.SEQUENCE(1,(B14/G36)-C27/G36,C36,-(C36)/((B14/G36)-(C27/G36))/2)</f>
        <v>#DIV/0!</v>
      </c>
    </row>
    <row r="43" spans="1:180" s="8" customFormat="1" x14ac:dyDescent="0.15">
      <c r="A43" s="18" t="e" cm="1">
        <f t="array" ref="A43">_xlfn.SEQUENCE(D10-C10+1,,C10)</f>
        <v>#VALUE!</v>
      </c>
      <c r="B43" s="13" cm="1">
        <f t="array" ref="B43">IFERROR(_xlfn.SEQUENCE(D10-C10+1,,B36,-(0.6*B36/(D10-C10))),B36)</f>
        <v>7.0000000000000007E-2</v>
      </c>
      <c r="C43" s="8" t="e" cm="1">
        <f t="array" ref="C43">PMT(_xlfn.ANCHORARRAY(B43)/12*_xlfn.ANCHORARRAY(C42),_xlfn.ANCHORARRAY(A43)*12,-_xlfn.ANCHORARRAY(C41))</f>
        <v>#DIV/0!</v>
      </c>
    </row>
    <row r="44" spans="1:180" s="8" customFormat="1" x14ac:dyDescent="0.15">
      <c r="A44" s="18"/>
      <c r="B44" s="13"/>
    </row>
    <row r="45" spans="1:180" s="8" customFormat="1" x14ac:dyDescent="0.15">
      <c r="A45" s="18"/>
      <c r="B45" s="13"/>
    </row>
    <row r="46" spans="1:180" s="8" customFormat="1" x14ac:dyDescent="0.15">
      <c r="A46" s="18"/>
      <c r="B46" s="13"/>
    </row>
    <row r="47" spans="1:180" s="8" customFormat="1" x14ac:dyDescent="0.15">
      <c r="A47" s="18"/>
      <c r="B47" s="13"/>
    </row>
    <row r="48" spans="1:180" s="8" customFormat="1" x14ac:dyDescent="0.15">
      <c r="A48" s="18"/>
      <c r="B48" s="13"/>
    </row>
    <row r="49" spans="1:2" s="8" customFormat="1" x14ac:dyDescent="0.15">
      <c r="A49" s="18"/>
      <c r="B49" s="13"/>
    </row>
    <row r="50" spans="1:2" s="8" customFormat="1" x14ac:dyDescent="0.15">
      <c r="A50" s="18"/>
      <c r="B50" s="13"/>
    </row>
    <row r="51" spans="1:2" s="8" customFormat="1" x14ac:dyDescent="0.15">
      <c r="A51" s="18"/>
      <c r="B51" s="13"/>
    </row>
    <row r="52" spans="1:2" s="8" customFormat="1" x14ac:dyDescent="0.15">
      <c r="A52" s="18"/>
      <c r="B52" s="13"/>
    </row>
    <row r="53" spans="1:2" s="8" customFormat="1" x14ac:dyDescent="0.15">
      <c r="A53" s="18"/>
      <c r="B53" s="13"/>
    </row>
    <row r="54" spans="1:2" s="8" customFormat="1" x14ac:dyDescent="0.15">
      <c r="A54" s="18"/>
      <c r="B54" s="13"/>
    </row>
    <row r="55" spans="1:2" s="8" customFormat="1" x14ac:dyDescent="0.15">
      <c r="A55" s="18"/>
      <c r="B55" s="13"/>
    </row>
    <row r="56" spans="1:2" s="8" customFormat="1" x14ac:dyDescent="0.15">
      <c r="A56" s="18"/>
      <c r="B56" s="13"/>
    </row>
    <row r="57" spans="1:2" s="8" customFormat="1" x14ac:dyDescent="0.15">
      <c r="A57" s="18"/>
      <c r="B57" s="13"/>
    </row>
    <row r="58" spans="1:2" s="8" customFormat="1" x14ac:dyDescent="0.15">
      <c r="A58" s="18"/>
      <c r="B58" s="13"/>
    </row>
    <row r="59" spans="1:2" s="8" customFormat="1" x14ac:dyDescent="0.15">
      <c r="A59" s="18"/>
      <c r="B59" s="13"/>
    </row>
    <row r="60" spans="1:2" s="8" customFormat="1" x14ac:dyDescent="0.15">
      <c r="A60" s="18"/>
      <c r="B60" s="13"/>
    </row>
    <row r="61" spans="1:2" s="8" customFormat="1" x14ac:dyDescent="0.15">
      <c r="A61" s="18"/>
      <c r="B61" s="13"/>
    </row>
    <row r="62" spans="1:2" s="8" customFormat="1" x14ac:dyDescent="0.15">
      <c r="A62" s="18"/>
      <c r="B62" s="13"/>
    </row>
    <row r="63" spans="1:2" s="8" customFormat="1" x14ac:dyDescent="0.15">
      <c r="A63" s="18"/>
      <c r="B63" s="13"/>
    </row>
    <row r="64" spans="1:2" s="8" customFormat="1" x14ac:dyDescent="0.15">
      <c r="A64" s="18"/>
      <c r="B64" s="13"/>
    </row>
    <row r="65" spans="1:2" s="8" customFormat="1" x14ac:dyDescent="0.15">
      <c r="A65" s="18"/>
      <c r="B65" s="13"/>
    </row>
    <row r="66" spans="1:2" s="8" customFormat="1" x14ac:dyDescent="0.15">
      <c r="A66" s="18"/>
      <c r="B66" s="13"/>
    </row>
    <row r="67" spans="1:2" s="8" customFormat="1" x14ac:dyDescent="0.15">
      <c r="A67" s="18"/>
      <c r="B67" s="13"/>
    </row>
    <row r="68" spans="1:2" s="8" customFormat="1" x14ac:dyDescent="0.15">
      <c r="A68" s="18"/>
      <c r="B68" s="13"/>
    </row>
    <row r="69" spans="1:2" s="8" customFormat="1" x14ac:dyDescent="0.15">
      <c r="A69" s="18"/>
      <c r="B69" s="13"/>
    </row>
    <row r="70" spans="1:2" s="8" customFormat="1" x14ac:dyDescent="0.15">
      <c r="A70" s="18"/>
      <c r="B70" s="13"/>
    </row>
    <row r="71" spans="1:2" s="8" customFormat="1" x14ac:dyDescent="0.15">
      <c r="A71" s="18"/>
      <c r="B71" s="13"/>
    </row>
    <row r="72" spans="1:2" s="8" customFormat="1" x14ac:dyDescent="0.15">
      <c r="A72" s="18"/>
      <c r="B72" s="13"/>
    </row>
    <row r="73" spans="1:2" s="8" customFormat="1" x14ac:dyDescent="0.15">
      <c r="A73" s="18"/>
      <c r="B73" s="13"/>
    </row>
    <row r="74" spans="1:2" s="8" customFormat="1" x14ac:dyDescent="0.15">
      <c r="A74" s="18"/>
      <c r="B74" s="13"/>
    </row>
    <row r="75" spans="1:2" s="8" customFormat="1" x14ac:dyDescent="0.15">
      <c r="A75" s="18"/>
      <c r="B75" s="13"/>
    </row>
    <row r="76" spans="1:2" s="8" customFormat="1" x14ac:dyDescent="0.15">
      <c r="A76" s="18"/>
      <c r="B76" s="13"/>
    </row>
    <row r="77" spans="1:2" s="8" customFormat="1" x14ac:dyDescent="0.15">
      <c r="A77" s="18"/>
      <c r="B77" s="13"/>
    </row>
    <row r="78" spans="1:2" s="8" customFormat="1" x14ac:dyDescent="0.15">
      <c r="A78" s="18"/>
      <c r="B78" s="13"/>
    </row>
    <row r="79" spans="1:2" s="8" customFormat="1" x14ac:dyDescent="0.15">
      <c r="A79" s="18"/>
      <c r="B79" s="13"/>
    </row>
    <row r="80" spans="1:2" s="8" customFormat="1" x14ac:dyDescent="0.15">
      <c r="A80" s="18"/>
      <c r="B80" s="13"/>
    </row>
    <row r="81" spans="1:2" s="8" customFormat="1" x14ac:dyDescent="0.15">
      <c r="A81" s="18"/>
      <c r="B81" s="13"/>
    </row>
    <row r="82" spans="1:2" s="8" customFormat="1" x14ac:dyDescent="0.15">
      <c r="A82" s="18"/>
      <c r="B82" s="13"/>
    </row>
    <row r="83" spans="1:2" s="8" customFormat="1" x14ac:dyDescent="0.15">
      <c r="A83" s="18"/>
      <c r="B83" s="13"/>
    </row>
    <row r="84" spans="1:2" s="8" customFormat="1" x14ac:dyDescent="0.15">
      <c r="A84" s="18"/>
      <c r="B84" s="13"/>
    </row>
    <row r="85" spans="1:2" s="8" customFormat="1" x14ac:dyDescent="0.15">
      <c r="A85" s="18"/>
      <c r="B85" s="13"/>
    </row>
    <row r="86" spans="1:2" s="8" customFormat="1" x14ac:dyDescent="0.15">
      <c r="A86" s="18"/>
      <c r="B86" s="13"/>
    </row>
    <row r="87" spans="1:2" s="8" customFormat="1" x14ac:dyDescent="0.15">
      <c r="A87" s="18"/>
      <c r="B87" s="13"/>
    </row>
    <row r="88" spans="1:2" s="8" customFormat="1" x14ac:dyDescent="0.15">
      <c r="A88" s="18"/>
      <c r="B88" s="13"/>
    </row>
    <row r="89" spans="1:2" s="8" customFormat="1" x14ac:dyDescent="0.15">
      <c r="A89" s="18"/>
      <c r="B89" s="13"/>
    </row>
    <row r="90" spans="1:2" s="8" customFormat="1" x14ac:dyDescent="0.15">
      <c r="B90" s="13"/>
    </row>
    <row r="91" spans="1:2" s="8" customFormat="1" x14ac:dyDescent="0.15">
      <c r="B91" s="13"/>
    </row>
    <row r="92" spans="1:2" s="8" customFormat="1" x14ac:dyDescent="0.15">
      <c r="B92" s="13"/>
    </row>
    <row r="93" spans="1:2" s="8" customFormat="1" x14ac:dyDescent="0.15">
      <c r="B93" s="13"/>
    </row>
    <row r="94" spans="1:2" s="8" customFormat="1" x14ac:dyDescent="0.15">
      <c r="B94" s="13"/>
    </row>
    <row r="95" spans="1:2" s="8" customFormat="1" x14ac:dyDescent="0.15">
      <c r="B95" s="13"/>
    </row>
    <row r="96" spans="1:2" s="8" customFormat="1" x14ac:dyDescent="0.15">
      <c r="B96" s="13"/>
    </row>
    <row r="97" spans="2:2" s="8" customFormat="1" x14ac:dyDescent="0.15">
      <c r="B97" s="13"/>
    </row>
    <row r="98" spans="2:2" s="8" customFormat="1" x14ac:dyDescent="0.15">
      <c r="B98" s="13"/>
    </row>
    <row r="99" spans="2:2" s="8" customFormat="1" x14ac:dyDescent="0.15">
      <c r="B99" s="13"/>
    </row>
    <row r="100" spans="2:2" s="8" customFormat="1" x14ac:dyDescent="0.15">
      <c r="B100" s="13"/>
    </row>
    <row r="101" spans="2:2" s="8" customFormat="1" x14ac:dyDescent="0.15">
      <c r="B101" s="13"/>
    </row>
    <row r="102" spans="2:2" s="8" customFormat="1" x14ac:dyDescent="0.15">
      <c r="B102" s="13"/>
    </row>
    <row r="103" spans="2:2" s="8" customFormat="1" x14ac:dyDescent="0.15">
      <c r="B103" s="13"/>
    </row>
  </sheetData>
  <mergeCells count="7">
    <mergeCell ref="D4:E4"/>
    <mergeCell ref="D16:E16"/>
    <mergeCell ref="D17:E17"/>
    <mergeCell ref="D18:E18"/>
    <mergeCell ref="H16:I16"/>
    <mergeCell ref="H17:I17"/>
    <mergeCell ref="H18:I18"/>
  </mergeCells>
  <conditionalFormatting sqref="A41:KD83">
    <cfRule type="notContainsBlanks" dxfId="5" priority="2">
      <formula>LEN(TRIM(A41))&gt;0</formula>
    </cfRule>
  </conditionalFormatting>
  <conditionalFormatting sqref="A39:KD40">
    <cfRule type="notContainsBlanks" dxfId="4" priority="1">
      <formula>LEN(TRIM(A39))&gt;0</formula>
    </cfRule>
  </conditionalFormatting>
  <conditionalFormatting sqref="C43:KD83">
    <cfRule type="containsBlanks" dxfId="3" priority="21">
      <formula>LEN(TRIM(C43))=0</formula>
    </cfRule>
    <cfRule type="expression" dxfId="2" priority="22">
      <formula>C43&gt;$J$30</formula>
    </cfRule>
    <cfRule type="expression" dxfId="1" priority="23">
      <formula>C43&lt;$J$30</formula>
    </cfRule>
  </conditionalFormatting>
  <pageMargins left="0.7" right="0.7" top="0.75" bottom="0.75" header="0.3" footer="0.3"/>
  <pageSetup paperSize="9" orientation="portrait" horizontalDpi="360" verticalDpi="36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D894D-A46A-432B-A343-7E5C38911D62}">
  <sheetPr codeName="Sheet9">
    <tabColor theme="0" tint="-0.249977111117893"/>
  </sheetPr>
  <dimension ref="A1:AE38"/>
  <sheetViews>
    <sheetView showGridLines="0" zoomScaleNormal="100" workbookViewId="0">
      <selection activeCell="B8" sqref="B8"/>
    </sheetView>
  </sheetViews>
  <sheetFormatPr baseColWidth="10" defaultColWidth="8.83203125" defaultRowHeight="12" x14ac:dyDescent="0.15"/>
  <cols>
    <col min="1" max="1" width="11.5" customWidth="1"/>
  </cols>
  <sheetData>
    <row r="1" spans="1:31" s="105" customFormat="1" ht="15" customHeight="1" x14ac:dyDescent="0.15">
      <c r="A1" s="105" t="s">
        <v>198</v>
      </c>
    </row>
    <row r="3" spans="1:31" x14ac:dyDescent="0.15">
      <c r="A3" s="102" t="s">
        <v>71</v>
      </c>
      <c r="B3" s="103" t="e">
        <f>IF(_xlfn.XLOOKUP(Simulation!B14,'Hidden_Control Sheet'!C41:FX41,'Hidden_Control Sheet'!C40:FX40)=0,B7,AB12)</f>
        <v>#N/A</v>
      </c>
      <c r="C3" s="104"/>
      <c r="D3" s="101" t="s">
        <v>41</v>
      </c>
      <c r="E3" s="101" t="s">
        <v>42</v>
      </c>
    </row>
    <row r="4" spans="1:31" x14ac:dyDescent="0.15">
      <c r="D4" s="101" t="e">
        <f ca="1">MIN(INDIRECT(B3))</f>
        <v>#N/A</v>
      </c>
      <c r="E4" s="101" t="e">
        <f ca="1">MAX(INDIRECT(B3))</f>
        <v>#N/A</v>
      </c>
    </row>
    <row r="7" spans="1:31" x14ac:dyDescent="0.15">
      <c r="A7" s="102" t="s">
        <v>101</v>
      </c>
      <c r="B7" s="103" t="str">
        <f>_xlfn.XLOOKUP(_xlfn.XLOOKUP(Simulation!B14,'Hidden_Control Sheet'!C41:FX41,'Hidden_Control Sheet'!C39:FX39,"List 1"),$B$11:$AA$11,$B$12:$AA$12,"List_1")</f>
        <v>List_1</v>
      </c>
      <c r="C7" s="104"/>
    </row>
    <row r="9" spans="1:31" x14ac:dyDescent="0.15">
      <c r="A9" t="s">
        <v>41</v>
      </c>
      <c r="B9">
        <v>5</v>
      </c>
      <c r="C9">
        <v>5</v>
      </c>
      <c r="D9">
        <v>5</v>
      </c>
      <c r="E9">
        <v>5</v>
      </c>
      <c r="F9">
        <v>5</v>
      </c>
      <c r="G9">
        <v>5</v>
      </c>
      <c r="H9">
        <v>5</v>
      </c>
      <c r="I9">
        <v>5</v>
      </c>
      <c r="J9">
        <v>5</v>
      </c>
      <c r="K9">
        <v>5</v>
      </c>
      <c r="L9">
        <v>5</v>
      </c>
      <c r="M9">
        <v>5</v>
      </c>
      <c r="N9">
        <v>5</v>
      </c>
      <c r="O9">
        <v>5</v>
      </c>
      <c r="P9">
        <v>5</v>
      </c>
      <c r="Q9">
        <v>5</v>
      </c>
      <c r="R9">
        <v>5</v>
      </c>
      <c r="S9">
        <v>5</v>
      </c>
      <c r="T9">
        <v>5</v>
      </c>
      <c r="U9">
        <v>5</v>
      </c>
      <c r="V9">
        <v>5</v>
      </c>
      <c r="W9">
        <v>5</v>
      </c>
      <c r="X9">
        <v>5</v>
      </c>
      <c r="Y9">
        <v>5</v>
      </c>
      <c r="Z9">
        <v>5</v>
      </c>
      <c r="AA9">
        <v>5</v>
      </c>
      <c r="AB9">
        <v>5</v>
      </c>
    </row>
    <row r="10" spans="1:31" x14ac:dyDescent="0.15">
      <c r="A10" t="s">
        <v>42</v>
      </c>
      <c r="B10" cm="1">
        <f t="array" ref="B10:AA10">_xlfn.SEQUENCE(1,26,30,-1)</f>
        <v>30</v>
      </c>
      <c r="C10">
        <v>29</v>
      </c>
      <c r="D10">
        <v>28</v>
      </c>
      <c r="E10">
        <v>27</v>
      </c>
      <c r="F10">
        <v>26</v>
      </c>
      <c r="G10">
        <v>25</v>
      </c>
      <c r="H10">
        <v>24</v>
      </c>
      <c r="I10">
        <v>23</v>
      </c>
      <c r="J10">
        <v>22</v>
      </c>
      <c r="K10">
        <v>21</v>
      </c>
      <c r="L10">
        <v>20</v>
      </c>
      <c r="M10">
        <v>19</v>
      </c>
      <c r="N10">
        <v>18</v>
      </c>
      <c r="O10">
        <v>17</v>
      </c>
      <c r="P10">
        <v>16</v>
      </c>
      <c r="Q10">
        <v>15</v>
      </c>
      <c r="R10">
        <v>14</v>
      </c>
      <c r="S10">
        <v>13</v>
      </c>
      <c r="T10">
        <v>12</v>
      </c>
      <c r="U10">
        <v>11</v>
      </c>
      <c r="V10">
        <v>10</v>
      </c>
      <c r="W10">
        <v>9</v>
      </c>
      <c r="X10">
        <v>8</v>
      </c>
      <c r="Y10">
        <v>7</v>
      </c>
      <c r="Z10">
        <v>6</v>
      </c>
      <c r="AA10">
        <v>5</v>
      </c>
    </row>
    <row r="11" spans="1:31" x14ac:dyDescent="0.15">
      <c r="A11" t="s">
        <v>67</v>
      </c>
      <c r="B11">
        <f>B10-B9+1</f>
        <v>26</v>
      </c>
      <c r="C11">
        <f>C10-C9+1</f>
        <v>25</v>
      </c>
      <c r="D11">
        <f t="shared" ref="D11:I11" si="0">D10-D9+1</f>
        <v>24</v>
      </c>
      <c r="E11">
        <f t="shared" si="0"/>
        <v>23</v>
      </c>
      <c r="F11">
        <f t="shared" si="0"/>
        <v>22</v>
      </c>
      <c r="G11">
        <f t="shared" si="0"/>
        <v>21</v>
      </c>
      <c r="H11">
        <f t="shared" si="0"/>
        <v>20</v>
      </c>
      <c r="I11">
        <f t="shared" si="0"/>
        <v>19</v>
      </c>
      <c r="J11">
        <f t="shared" ref="J11" si="1">J10-J9+1</f>
        <v>18</v>
      </c>
      <c r="K11">
        <f t="shared" ref="K11" si="2">K10-K9+1</f>
        <v>17</v>
      </c>
      <c r="L11">
        <f t="shared" ref="L11" si="3">L10-L9+1</f>
        <v>16</v>
      </c>
      <c r="M11">
        <f t="shared" ref="M11" si="4">M10-M9+1</f>
        <v>15</v>
      </c>
      <c r="N11">
        <f t="shared" ref="N11" si="5">N10-N9+1</f>
        <v>14</v>
      </c>
      <c r="O11">
        <f t="shared" ref="O11" si="6">O10-O9+1</f>
        <v>13</v>
      </c>
      <c r="P11">
        <f t="shared" ref="P11" si="7">P10-P9+1</f>
        <v>12</v>
      </c>
      <c r="Q11">
        <f t="shared" ref="Q11" si="8">Q10-Q9+1</f>
        <v>11</v>
      </c>
      <c r="R11">
        <f t="shared" ref="R11" si="9">R10-R9+1</f>
        <v>10</v>
      </c>
      <c r="S11">
        <f t="shared" ref="S11" si="10">S10-S9+1</f>
        <v>9</v>
      </c>
      <c r="T11">
        <f t="shared" ref="T11" si="11">T10-T9+1</f>
        <v>8</v>
      </c>
      <c r="U11">
        <f t="shared" ref="U11" si="12">U10-U9+1</f>
        <v>7</v>
      </c>
      <c r="V11">
        <f t="shared" ref="V11" si="13">V10-V9+1</f>
        <v>6</v>
      </c>
      <c r="W11">
        <f t="shared" ref="W11" si="14">W10-W9+1</f>
        <v>5</v>
      </c>
      <c r="X11">
        <f t="shared" ref="X11" si="15">X10-X9+1</f>
        <v>4</v>
      </c>
      <c r="Y11">
        <f t="shared" ref="Y11" si="16">Y10-Y9+1</f>
        <v>3</v>
      </c>
      <c r="Z11">
        <f t="shared" ref="Z11" si="17">Z10-Z9+1</f>
        <v>2</v>
      </c>
      <c r="AA11">
        <f t="shared" ref="AA11" si="18">AA10-AA9+1</f>
        <v>1</v>
      </c>
    </row>
    <row r="12" spans="1:31" x14ac:dyDescent="0.15">
      <c r="A12" s="25" t="s">
        <v>72</v>
      </c>
      <c r="B12" s="26" t="s">
        <v>74</v>
      </c>
      <c r="C12" s="26" t="s">
        <v>75</v>
      </c>
      <c r="D12" s="26" t="s">
        <v>76</v>
      </c>
      <c r="E12" s="26" t="s">
        <v>77</v>
      </c>
      <c r="F12" s="26" t="s">
        <v>78</v>
      </c>
      <c r="G12" s="26" t="s">
        <v>79</v>
      </c>
      <c r="H12" s="26" t="s">
        <v>80</v>
      </c>
      <c r="I12" s="26" t="s">
        <v>81</v>
      </c>
      <c r="J12" s="26" t="s">
        <v>82</v>
      </c>
      <c r="K12" s="26" t="s">
        <v>83</v>
      </c>
      <c r="L12" s="26" t="s">
        <v>84</v>
      </c>
      <c r="M12" s="26" t="s">
        <v>85</v>
      </c>
      <c r="N12" s="26" t="s">
        <v>86</v>
      </c>
      <c r="O12" s="26" t="s">
        <v>87</v>
      </c>
      <c r="P12" s="26" t="s">
        <v>88</v>
      </c>
      <c r="Q12" s="26" t="s">
        <v>89</v>
      </c>
      <c r="R12" s="26" t="s">
        <v>90</v>
      </c>
      <c r="S12" s="26" t="s">
        <v>91</v>
      </c>
      <c r="T12" s="26" t="s">
        <v>92</v>
      </c>
      <c r="U12" s="26" t="s">
        <v>93</v>
      </c>
      <c r="V12" s="26" t="s">
        <v>94</v>
      </c>
      <c r="W12" s="26" t="s">
        <v>95</v>
      </c>
      <c r="X12" s="26" t="s">
        <v>96</v>
      </c>
      <c r="Y12" s="26" t="s">
        <v>97</v>
      </c>
      <c r="Z12" s="26" t="s">
        <v>98</v>
      </c>
      <c r="AA12" s="26" t="s">
        <v>99</v>
      </c>
      <c r="AB12" s="27" t="s">
        <v>102</v>
      </c>
      <c r="AE12" t="s">
        <v>103</v>
      </c>
    </row>
    <row r="13" spans="1:31" x14ac:dyDescent="0.15">
      <c r="A13" t="s">
        <v>73</v>
      </c>
      <c r="B13" cm="1">
        <f t="array" ref="B13:B38">_xlfn.SEQUENCE(B11,1,B9)</f>
        <v>5</v>
      </c>
      <c r="C13" cm="1">
        <f t="array" ref="C13:C37">_xlfn.SEQUENCE(C11,1,C9)</f>
        <v>5</v>
      </c>
      <c r="D13" cm="1">
        <f t="array" ref="D13:D36">_xlfn.SEQUENCE(D11,1,D9)</f>
        <v>5</v>
      </c>
      <c r="E13" cm="1">
        <f t="array" ref="E13:E35">_xlfn.SEQUENCE(E11,1,E9)</f>
        <v>5</v>
      </c>
      <c r="F13" cm="1">
        <f t="array" ref="F13:F34">_xlfn.SEQUENCE(F11,1,F9)</f>
        <v>5</v>
      </c>
      <c r="G13" cm="1">
        <f t="array" ref="G13:G33">_xlfn.SEQUENCE(G11,1,G9)</f>
        <v>5</v>
      </c>
      <c r="H13" cm="1">
        <f t="array" ref="H13:H32">_xlfn.SEQUENCE(H11,1,H9)</f>
        <v>5</v>
      </c>
      <c r="I13" cm="1">
        <f t="array" ref="I13:I31">_xlfn.SEQUENCE(I11,1,I9)</f>
        <v>5</v>
      </c>
      <c r="J13" cm="1">
        <f t="array" ref="J13:J30">_xlfn.SEQUENCE(J11,1,J9)</f>
        <v>5</v>
      </c>
      <c r="K13" cm="1">
        <f t="array" ref="K13:K29">_xlfn.SEQUENCE(K11,1,K9)</f>
        <v>5</v>
      </c>
      <c r="L13" cm="1">
        <f t="array" ref="L13:L28">_xlfn.SEQUENCE(L11,1,L9)</f>
        <v>5</v>
      </c>
      <c r="M13" cm="1">
        <f t="array" ref="M13:M27">_xlfn.SEQUENCE(M11,1,M9)</f>
        <v>5</v>
      </c>
      <c r="N13" cm="1">
        <f t="array" ref="N13:N26">_xlfn.SEQUENCE(N11,1,N9)</f>
        <v>5</v>
      </c>
      <c r="O13" cm="1">
        <f t="array" ref="O13:O25">_xlfn.SEQUENCE(O11,1,O9)</f>
        <v>5</v>
      </c>
      <c r="P13" cm="1">
        <f t="array" ref="P13:P24">_xlfn.SEQUENCE(P11,1,P9)</f>
        <v>5</v>
      </c>
      <c r="Q13" cm="1">
        <f t="array" ref="Q13:Q23">_xlfn.SEQUENCE(Q11,1,Q9)</f>
        <v>5</v>
      </c>
      <c r="R13" cm="1">
        <f t="array" ref="R13:R22">_xlfn.SEQUENCE(R11,1,R9)</f>
        <v>5</v>
      </c>
      <c r="S13" cm="1">
        <f t="array" ref="S13:S21">_xlfn.SEQUENCE(S11,1,S9)</f>
        <v>5</v>
      </c>
      <c r="T13" cm="1">
        <f t="array" ref="T13:T20">_xlfn.SEQUENCE(T11,1,T9)</f>
        <v>5</v>
      </c>
      <c r="U13" cm="1">
        <f t="array" ref="U13:U19">_xlfn.SEQUENCE(U11,1,U9)</f>
        <v>5</v>
      </c>
      <c r="V13" cm="1">
        <f t="array" ref="V13:V18">_xlfn.SEQUENCE(V11,1,V9)</f>
        <v>5</v>
      </c>
      <c r="W13" cm="1">
        <f t="array" ref="W13:W17">_xlfn.SEQUENCE(W11,1,W9)</f>
        <v>5</v>
      </c>
      <c r="X13" cm="1">
        <f t="array" ref="X13:X16">_xlfn.SEQUENCE(X11,1,X9)</f>
        <v>5</v>
      </c>
      <c r="Y13" cm="1">
        <f t="array" ref="Y13:Y15">_xlfn.SEQUENCE(Y11,1,Y9)</f>
        <v>5</v>
      </c>
      <c r="Z13" cm="1">
        <f t="array" ref="Z13:Z14">_xlfn.SEQUENCE(Z11,1,Z9)</f>
        <v>5</v>
      </c>
      <c r="AA13" cm="1">
        <f t="array" ref="AA13">_xlfn.SEQUENCE(AA11,1,AA9)</f>
        <v>5</v>
      </c>
      <c r="AB13" t="e" cm="1">
        <f t="array" ref="AB13">_xlfn.SEQUENCE(_xlfn.XLOOKUP(B7,$B$12:$AA$12,$B$11:$AA$11,26),1,AB9+AE13)</f>
        <v>#N/A</v>
      </c>
      <c r="AE13" t="e">
        <f>_xlfn.XLOOKUP(Simulation!B14,'Hidden_Control Sheet'!C41:FX41,'Hidden_Control Sheet'!C40:FX40)</f>
        <v>#N/A</v>
      </c>
    </row>
    <row r="14" spans="1:31" x14ac:dyDescent="0.15">
      <c r="B14">
        <v>6</v>
      </c>
      <c r="C14">
        <v>6</v>
      </c>
      <c r="D14">
        <v>6</v>
      </c>
      <c r="E14">
        <v>6</v>
      </c>
      <c r="F14">
        <v>6</v>
      </c>
      <c r="G14">
        <v>6</v>
      </c>
      <c r="H14">
        <v>6</v>
      </c>
      <c r="I14">
        <v>6</v>
      </c>
      <c r="J14">
        <v>6</v>
      </c>
      <c r="K14">
        <v>6</v>
      </c>
      <c r="L14">
        <v>6</v>
      </c>
      <c r="M14">
        <v>6</v>
      </c>
      <c r="N14">
        <v>6</v>
      </c>
      <c r="O14">
        <v>6</v>
      </c>
      <c r="P14">
        <v>6</v>
      </c>
      <c r="Q14">
        <v>6</v>
      </c>
      <c r="R14">
        <v>6</v>
      </c>
      <c r="S14">
        <v>6</v>
      </c>
      <c r="T14">
        <v>6</v>
      </c>
      <c r="U14">
        <v>6</v>
      </c>
      <c r="V14">
        <v>6</v>
      </c>
      <c r="W14">
        <v>6</v>
      </c>
      <c r="X14">
        <v>6</v>
      </c>
      <c r="Y14">
        <v>6</v>
      </c>
      <c r="Z14">
        <v>6</v>
      </c>
    </row>
    <row r="15" spans="1:31" x14ac:dyDescent="0.15">
      <c r="B15">
        <v>7</v>
      </c>
      <c r="C15">
        <v>7</v>
      </c>
      <c r="D15">
        <v>7</v>
      </c>
      <c r="E15">
        <v>7</v>
      </c>
      <c r="F15">
        <v>7</v>
      </c>
      <c r="G15">
        <v>7</v>
      </c>
      <c r="H15">
        <v>7</v>
      </c>
      <c r="I15">
        <v>7</v>
      </c>
      <c r="J15">
        <v>7</v>
      </c>
      <c r="K15">
        <v>7</v>
      </c>
      <c r="L15">
        <v>7</v>
      </c>
      <c r="M15">
        <v>7</v>
      </c>
      <c r="N15">
        <v>7</v>
      </c>
      <c r="O15">
        <v>7</v>
      </c>
      <c r="P15">
        <v>7</v>
      </c>
      <c r="Q15">
        <v>7</v>
      </c>
      <c r="R15">
        <v>7</v>
      </c>
      <c r="S15">
        <v>7</v>
      </c>
      <c r="T15">
        <v>7</v>
      </c>
      <c r="U15">
        <v>7</v>
      </c>
      <c r="V15">
        <v>7</v>
      </c>
      <c r="W15">
        <v>7</v>
      </c>
      <c r="X15">
        <v>7</v>
      </c>
      <c r="Y15">
        <v>7</v>
      </c>
    </row>
    <row r="16" spans="1:31" x14ac:dyDescent="0.15">
      <c r="B16">
        <v>8</v>
      </c>
      <c r="C16">
        <v>8</v>
      </c>
      <c r="D16">
        <v>8</v>
      </c>
      <c r="E16">
        <v>8</v>
      </c>
      <c r="F16">
        <v>8</v>
      </c>
      <c r="G16">
        <v>8</v>
      </c>
      <c r="H16">
        <v>8</v>
      </c>
      <c r="I16">
        <v>8</v>
      </c>
      <c r="J16">
        <v>8</v>
      </c>
      <c r="K16">
        <v>8</v>
      </c>
      <c r="L16">
        <v>8</v>
      </c>
      <c r="M16">
        <v>8</v>
      </c>
      <c r="N16">
        <v>8</v>
      </c>
      <c r="O16">
        <v>8</v>
      </c>
      <c r="P16">
        <v>8</v>
      </c>
      <c r="Q16">
        <v>8</v>
      </c>
      <c r="R16">
        <v>8</v>
      </c>
      <c r="S16">
        <v>8</v>
      </c>
      <c r="T16">
        <v>8</v>
      </c>
      <c r="U16">
        <v>8</v>
      </c>
      <c r="V16">
        <v>8</v>
      </c>
      <c r="W16">
        <v>8</v>
      </c>
      <c r="X16">
        <v>8</v>
      </c>
    </row>
    <row r="17" spans="2:23" x14ac:dyDescent="0.15">
      <c r="B17">
        <v>9</v>
      </c>
      <c r="C17">
        <v>9</v>
      </c>
      <c r="D17">
        <v>9</v>
      </c>
      <c r="E17">
        <v>9</v>
      </c>
      <c r="F17">
        <v>9</v>
      </c>
      <c r="G17">
        <v>9</v>
      </c>
      <c r="H17">
        <v>9</v>
      </c>
      <c r="I17">
        <v>9</v>
      </c>
      <c r="J17">
        <v>9</v>
      </c>
      <c r="K17">
        <v>9</v>
      </c>
      <c r="L17">
        <v>9</v>
      </c>
      <c r="M17">
        <v>9</v>
      </c>
      <c r="N17">
        <v>9</v>
      </c>
      <c r="O17">
        <v>9</v>
      </c>
      <c r="P17">
        <v>9</v>
      </c>
      <c r="Q17">
        <v>9</v>
      </c>
      <c r="R17">
        <v>9</v>
      </c>
      <c r="S17">
        <v>9</v>
      </c>
      <c r="T17">
        <v>9</v>
      </c>
      <c r="U17">
        <v>9</v>
      </c>
      <c r="V17">
        <v>9</v>
      </c>
      <c r="W17">
        <v>9</v>
      </c>
    </row>
    <row r="18" spans="2:23" x14ac:dyDescent="0.15">
      <c r="B18">
        <v>10</v>
      </c>
      <c r="C18">
        <v>10</v>
      </c>
      <c r="D18">
        <v>10</v>
      </c>
      <c r="E18">
        <v>10</v>
      </c>
      <c r="F18">
        <v>10</v>
      </c>
      <c r="G18">
        <v>10</v>
      </c>
      <c r="H18">
        <v>10</v>
      </c>
      <c r="I18">
        <v>10</v>
      </c>
      <c r="J18">
        <v>10</v>
      </c>
      <c r="K18">
        <v>10</v>
      </c>
      <c r="L18">
        <v>10</v>
      </c>
      <c r="M18">
        <v>10</v>
      </c>
      <c r="N18">
        <v>10</v>
      </c>
      <c r="O18">
        <v>10</v>
      </c>
      <c r="P18">
        <v>10</v>
      </c>
      <c r="Q18">
        <v>10</v>
      </c>
      <c r="R18">
        <v>10</v>
      </c>
      <c r="S18">
        <v>10</v>
      </c>
      <c r="T18">
        <v>10</v>
      </c>
      <c r="U18">
        <v>10</v>
      </c>
      <c r="V18">
        <v>10</v>
      </c>
    </row>
    <row r="19" spans="2:23" x14ac:dyDescent="0.15">
      <c r="B19">
        <v>11</v>
      </c>
      <c r="C19">
        <v>11</v>
      </c>
      <c r="D19">
        <v>11</v>
      </c>
      <c r="E19">
        <v>11</v>
      </c>
      <c r="F19">
        <v>11</v>
      </c>
      <c r="G19">
        <v>11</v>
      </c>
      <c r="H19">
        <v>11</v>
      </c>
      <c r="I19">
        <v>11</v>
      </c>
      <c r="J19">
        <v>11</v>
      </c>
      <c r="K19">
        <v>11</v>
      </c>
      <c r="L19">
        <v>11</v>
      </c>
      <c r="M19">
        <v>11</v>
      </c>
      <c r="N19">
        <v>11</v>
      </c>
      <c r="O19">
        <v>11</v>
      </c>
      <c r="P19">
        <v>11</v>
      </c>
      <c r="Q19">
        <v>11</v>
      </c>
      <c r="R19">
        <v>11</v>
      </c>
      <c r="S19">
        <v>11</v>
      </c>
      <c r="T19">
        <v>11</v>
      </c>
      <c r="U19">
        <v>11</v>
      </c>
    </row>
    <row r="20" spans="2:23" x14ac:dyDescent="0.15">
      <c r="B20">
        <v>12</v>
      </c>
      <c r="C20">
        <v>12</v>
      </c>
      <c r="D20">
        <v>12</v>
      </c>
      <c r="E20">
        <v>12</v>
      </c>
      <c r="F20">
        <v>12</v>
      </c>
      <c r="G20">
        <v>12</v>
      </c>
      <c r="H20">
        <v>12</v>
      </c>
      <c r="I20">
        <v>12</v>
      </c>
      <c r="J20">
        <v>12</v>
      </c>
      <c r="K20">
        <v>12</v>
      </c>
      <c r="L20">
        <v>12</v>
      </c>
      <c r="M20">
        <v>12</v>
      </c>
      <c r="N20">
        <v>12</v>
      </c>
      <c r="O20">
        <v>12</v>
      </c>
      <c r="P20">
        <v>12</v>
      </c>
      <c r="Q20">
        <v>12</v>
      </c>
      <c r="R20">
        <v>12</v>
      </c>
      <c r="S20">
        <v>12</v>
      </c>
      <c r="T20">
        <v>12</v>
      </c>
    </row>
    <row r="21" spans="2:23" x14ac:dyDescent="0.15">
      <c r="B21">
        <v>13</v>
      </c>
      <c r="C21">
        <v>13</v>
      </c>
      <c r="D21">
        <v>13</v>
      </c>
      <c r="E21">
        <v>13</v>
      </c>
      <c r="F21">
        <v>13</v>
      </c>
      <c r="G21">
        <v>13</v>
      </c>
      <c r="H21">
        <v>13</v>
      </c>
      <c r="I21">
        <v>13</v>
      </c>
      <c r="J21">
        <v>13</v>
      </c>
      <c r="K21">
        <v>13</v>
      </c>
      <c r="L21">
        <v>13</v>
      </c>
      <c r="M21">
        <v>13</v>
      </c>
      <c r="N21">
        <v>13</v>
      </c>
      <c r="O21">
        <v>13</v>
      </c>
      <c r="P21">
        <v>13</v>
      </c>
      <c r="Q21">
        <v>13</v>
      </c>
      <c r="R21">
        <v>13</v>
      </c>
      <c r="S21">
        <v>13</v>
      </c>
    </row>
    <row r="22" spans="2:23" x14ac:dyDescent="0.15">
      <c r="B22">
        <v>14</v>
      </c>
      <c r="C22">
        <v>14</v>
      </c>
      <c r="D22">
        <v>14</v>
      </c>
      <c r="E22">
        <v>14</v>
      </c>
      <c r="F22">
        <v>14</v>
      </c>
      <c r="G22">
        <v>14</v>
      </c>
      <c r="H22">
        <v>14</v>
      </c>
      <c r="I22">
        <v>14</v>
      </c>
      <c r="J22">
        <v>14</v>
      </c>
      <c r="K22">
        <v>14</v>
      </c>
      <c r="L22">
        <v>14</v>
      </c>
      <c r="M22">
        <v>14</v>
      </c>
      <c r="N22">
        <v>14</v>
      </c>
      <c r="O22">
        <v>14</v>
      </c>
      <c r="P22">
        <v>14</v>
      </c>
      <c r="Q22">
        <v>14</v>
      </c>
      <c r="R22">
        <v>14</v>
      </c>
    </row>
    <row r="23" spans="2:23" x14ac:dyDescent="0.15">
      <c r="B23">
        <v>15</v>
      </c>
      <c r="C23">
        <v>15</v>
      </c>
      <c r="D23">
        <v>15</v>
      </c>
      <c r="E23">
        <v>15</v>
      </c>
      <c r="F23">
        <v>15</v>
      </c>
      <c r="G23">
        <v>15</v>
      </c>
      <c r="H23">
        <v>15</v>
      </c>
      <c r="I23">
        <v>15</v>
      </c>
      <c r="J23">
        <v>15</v>
      </c>
      <c r="K23">
        <v>15</v>
      </c>
      <c r="L23">
        <v>15</v>
      </c>
      <c r="M23">
        <v>15</v>
      </c>
      <c r="N23">
        <v>15</v>
      </c>
      <c r="O23">
        <v>15</v>
      </c>
      <c r="P23">
        <v>15</v>
      </c>
      <c r="Q23">
        <v>15</v>
      </c>
    </row>
    <row r="24" spans="2:23" x14ac:dyDescent="0.15">
      <c r="B24">
        <v>16</v>
      </c>
      <c r="C24">
        <v>16</v>
      </c>
      <c r="D24">
        <v>16</v>
      </c>
      <c r="E24">
        <v>16</v>
      </c>
      <c r="F24">
        <v>16</v>
      </c>
      <c r="G24">
        <v>16</v>
      </c>
      <c r="H24">
        <v>16</v>
      </c>
      <c r="I24">
        <v>16</v>
      </c>
      <c r="J24">
        <v>16</v>
      </c>
      <c r="K24">
        <v>16</v>
      </c>
      <c r="L24">
        <v>16</v>
      </c>
      <c r="M24">
        <v>16</v>
      </c>
      <c r="N24">
        <v>16</v>
      </c>
      <c r="O24">
        <v>16</v>
      </c>
      <c r="P24">
        <v>16</v>
      </c>
    </row>
    <row r="25" spans="2:23" x14ac:dyDescent="0.15">
      <c r="B25">
        <v>17</v>
      </c>
      <c r="C25">
        <v>17</v>
      </c>
      <c r="D25">
        <v>17</v>
      </c>
      <c r="E25">
        <v>17</v>
      </c>
      <c r="F25">
        <v>17</v>
      </c>
      <c r="G25">
        <v>17</v>
      </c>
      <c r="H25">
        <v>17</v>
      </c>
      <c r="I25">
        <v>17</v>
      </c>
      <c r="J25">
        <v>17</v>
      </c>
      <c r="K25">
        <v>17</v>
      </c>
      <c r="L25">
        <v>17</v>
      </c>
      <c r="M25">
        <v>17</v>
      </c>
      <c r="N25">
        <v>17</v>
      </c>
      <c r="O25">
        <v>17</v>
      </c>
    </row>
    <row r="26" spans="2:23" x14ac:dyDescent="0.15">
      <c r="B26">
        <v>18</v>
      </c>
      <c r="C26">
        <v>18</v>
      </c>
      <c r="D26">
        <v>18</v>
      </c>
      <c r="E26">
        <v>18</v>
      </c>
      <c r="F26">
        <v>18</v>
      </c>
      <c r="G26">
        <v>18</v>
      </c>
      <c r="H26">
        <v>18</v>
      </c>
      <c r="I26">
        <v>18</v>
      </c>
      <c r="J26">
        <v>18</v>
      </c>
      <c r="K26">
        <v>18</v>
      </c>
      <c r="L26">
        <v>18</v>
      </c>
      <c r="M26">
        <v>18</v>
      </c>
      <c r="N26">
        <v>18</v>
      </c>
    </row>
    <row r="27" spans="2:23" x14ac:dyDescent="0.15">
      <c r="B27">
        <v>19</v>
      </c>
      <c r="C27">
        <v>19</v>
      </c>
      <c r="D27">
        <v>19</v>
      </c>
      <c r="E27">
        <v>19</v>
      </c>
      <c r="F27">
        <v>19</v>
      </c>
      <c r="G27">
        <v>19</v>
      </c>
      <c r="H27">
        <v>19</v>
      </c>
      <c r="I27">
        <v>19</v>
      </c>
      <c r="J27">
        <v>19</v>
      </c>
      <c r="K27">
        <v>19</v>
      </c>
      <c r="L27">
        <v>19</v>
      </c>
      <c r="M27">
        <v>19</v>
      </c>
    </row>
    <row r="28" spans="2:23" x14ac:dyDescent="0.15">
      <c r="B28">
        <v>20</v>
      </c>
      <c r="C28">
        <v>20</v>
      </c>
      <c r="D28">
        <v>20</v>
      </c>
      <c r="E28">
        <v>20</v>
      </c>
      <c r="F28">
        <v>20</v>
      </c>
      <c r="G28">
        <v>20</v>
      </c>
      <c r="H28">
        <v>20</v>
      </c>
      <c r="I28">
        <v>20</v>
      </c>
      <c r="J28">
        <v>20</v>
      </c>
      <c r="K28">
        <v>20</v>
      </c>
      <c r="L28">
        <v>20</v>
      </c>
    </row>
    <row r="29" spans="2:23" x14ac:dyDescent="0.15">
      <c r="B29">
        <v>21</v>
      </c>
      <c r="C29">
        <v>21</v>
      </c>
      <c r="D29">
        <v>21</v>
      </c>
      <c r="E29">
        <v>21</v>
      </c>
      <c r="F29">
        <v>21</v>
      </c>
      <c r="G29">
        <v>21</v>
      </c>
      <c r="H29">
        <v>21</v>
      </c>
      <c r="I29">
        <v>21</v>
      </c>
      <c r="J29">
        <v>21</v>
      </c>
      <c r="K29">
        <v>21</v>
      </c>
    </row>
    <row r="30" spans="2:23" x14ac:dyDescent="0.15">
      <c r="B30">
        <v>22</v>
      </c>
      <c r="C30">
        <v>22</v>
      </c>
      <c r="D30">
        <v>22</v>
      </c>
      <c r="E30">
        <v>22</v>
      </c>
      <c r="F30">
        <v>22</v>
      </c>
      <c r="G30">
        <v>22</v>
      </c>
      <c r="H30">
        <v>22</v>
      </c>
      <c r="I30">
        <v>22</v>
      </c>
      <c r="J30">
        <v>22</v>
      </c>
    </row>
    <row r="31" spans="2:23" x14ac:dyDescent="0.15">
      <c r="B31">
        <v>23</v>
      </c>
      <c r="C31">
        <v>23</v>
      </c>
      <c r="D31">
        <v>23</v>
      </c>
      <c r="E31">
        <v>23</v>
      </c>
      <c r="F31">
        <v>23</v>
      </c>
      <c r="G31">
        <v>23</v>
      </c>
      <c r="H31">
        <v>23</v>
      </c>
      <c r="I31">
        <v>23</v>
      </c>
    </row>
    <row r="32" spans="2:23" x14ac:dyDescent="0.15">
      <c r="B32">
        <v>24</v>
      </c>
      <c r="C32">
        <v>24</v>
      </c>
      <c r="D32">
        <v>24</v>
      </c>
      <c r="E32">
        <v>24</v>
      </c>
      <c r="F32">
        <v>24</v>
      </c>
      <c r="G32">
        <v>24</v>
      </c>
      <c r="H32">
        <v>24</v>
      </c>
    </row>
    <row r="33" spans="2:7" x14ac:dyDescent="0.15">
      <c r="B33">
        <v>25</v>
      </c>
      <c r="C33">
        <v>25</v>
      </c>
      <c r="D33">
        <v>25</v>
      </c>
      <c r="E33">
        <v>25</v>
      </c>
      <c r="F33">
        <v>25</v>
      </c>
      <c r="G33">
        <v>25</v>
      </c>
    </row>
    <row r="34" spans="2:7" x14ac:dyDescent="0.15">
      <c r="B34">
        <v>26</v>
      </c>
      <c r="C34">
        <v>26</v>
      </c>
      <c r="D34">
        <v>26</v>
      </c>
      <c r="E34">
        <v>26</v>
      </c>
      <c r="F34">
        <v>26</v>
      </c>
    </row>
    <row r="35" spans="2:7" x14ac:dyDescent="0.15">
      <c r="B35">
        <v>27</v>
      </c>
      <c r="C35">
        <v>27</v>
      </c>
      <c r="D35">
        <v>27</v>
      </c>
      <c r="E35">
        <v>27</v>
      </c>
    </row>
    <row r="36" spans="2:7" x14ac:dyDescent="0.15">
      <c r="B36">
        <v>28</v>
      </c>
      <c r="C36">
        <v>28</v>
      </c>
      <c r="D36">
        <v>28</v>
      </c>
    </row>
    <row r="37" spans="2:7" x14ac:dyDescent="0.15">
      <c r="B37">
        <v>29</v>
      </c>
      <c r="C37">
        <v>29</v>
      </c>
    </row>
    <row r="38" spans="2:7" x14ac:dyDescent="0.15">
      <c r="B38">
        <v>30</v>
      </c>
    </row>
  </sheetData>
  <phoneticPr fontId="1" type="noConversion"/>
  <conditionalFormatting sqref="A9:AB38">
    <cfRule type="colorScale" priority="2">
      <colorScale>
        <cfvo type="min"/>
        <cfvo type="max"/>
        <color theme="5" tint="0.79998168889431442"/>
        <color theme="5" tint="0.39997558519241921"/>
      </colorScale>
    </cfRule>
    <cfRule type="notContainsBlanks" dxfId="0" priority="3">
      <formula>LEN(TRIM(A9))&gt;0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F52B3-FF55-4536-99E2-636938D919C9}">
  <sheetPr codeName="Sheet11">
    <tabColor theme="0" tint="-0.249977111117893"/>
  </sheetPr>
  <dimension ref="A1:I27"/>
  <sheetViews>
    <sheetView showGridLines="0" workbookViewId="0">
      <selection activeCell="C8" sqref="C8"/>
    </sheetView>
  </sheetViews>
  <sheetFormatPr baseColWidth="10" defaultColWidth="8.83203125" defaultRowHeight="12" x14ac:dyDescent="0.15"/>
  <cols>
    <col min="1" max="2" width="15.6640625" customWidth="1"/>
    <col min="3" max="4" width="15.6640625" style="193" customWidth="1"/>
    <col min="5" max="7" width="15.6640625" customWidth="1"/>
  </cols>
  <sheetData>
    <row r="1" spans="1:9" s="34" customFormat="1" ht="30" customHeight="1" x14ac:dyDescent="0.15">
      <c r="B1" s="33" t="s">
        <v>215</v>
      </c>
      <c r="C1" s="191"/>
      <c r="D1" s="191"/>
    </row>
    <row r="2" spans="1:9" s="35" customFormat="1" ht="15" customHeight="1" x14ac:dyDescent="0.15">
      <c r="C2" s="192"/>
      <c r="D2" s="192"/>
    </row>
    <row r="4" spans="1:9" s="4" customFormat="1" ht="14" customHeight="1" x14ac:dyDescent="0.15">
      <c r="A4" s="190" t="s">
        <v>235</v>
      </c>
      <c r="B4" s="6"/>
      <c r="C4" s="5"/>
      <c r="D4" s="5"/>
      <c r="E4" s="6"/>
      <c r="F4" s="6"/>
      <c r="G4" s="5"/>
      <c r="H4" s="5"/>
      <c r="I4" s="9"/>
    </row>
    <row r="6" spans="1:9" s="201" customFormat="1" ht="19" customHeight="1" x14ac:dyDescent="0.15">
      <c r="A6" s="198" t="s">
        <v>236</v>
      </c>
      <c r="B6" s="199">
        <v>13000</v>
      </c>
      <c r="C6" s="200"/>
      <c r="D6" s="200"/>
    </row>
    <row r="7" spans="1:9" s="201" customFormat="1" ht="19" customHeight="1" x14ac:dyDescent="0.15">
      <c r="A7" s="198" t="s">
        <v>237</v>
      </c>
      <c r="B7" s="202">
        <v>2.5000000000000001E-2</v>
      </c>
      <c r="C7" s="200"/>
      <c r="D7" s="200"/>
    </row>
    <row r="8" spans="1:9" s="201" customFormat="1" ht="19" customHeight="1" x14ac:dyDescent="0.15">
      <c r="A8" s="198" t="s">
        <v>232</v>
      </c>
      <c r="B8" s="202" t="e" cm="1">
        <f t="array" ref="B8">(_xlfn.XLOOKUP(B6,_xlfn.ANCHORARRAY('Hidden_Control Sheet'!C41),_xlfn.ANCHORARRAY('Hidden_Control Sheet'!C42),,-1)+0.67)*B7</f>
        <v>#N/A</v>
      </c>
      <c r="C8" s="200"/>
      <c r="D8" s="198" t="s">
        <v>27</v>
      </c>
      <c r="E8" s="199" t="e">
        <f>AVERAGE(_xlfn.ANCHORARRAY(E13))</f>
        <v>#N/A</v>
      </c>
    </row>
    <row r="9" spans="1:9" s="201" customFormat="1" ht="19" customHeight="1" x14ac:dyDescent="0.15">
      <c r="C9" s="200"/>
      <c r="D9" s="200"/>
    </row>
    <row r="12" spans="1:9" x14ac:dyDescent="0.15">
      <c r="A12" s="194" t="s">
        <v>37</v>
      </c>
      <c r="B12" s="194" t="s">
        <v>17</v>
      </c>
      <c r="C12" s="195" t="s">
        <v>18</v>
      </c>
      <c r="D12" s="195" t="s">
        <v>19</v>
      </c>
      <c r="E12" s="194" t="s">
        <v>21</v>
      </c>
      <c r="F12" s="194" t="s">
        <v>20</v>
      </c>
      <c r="G12" s="194" t="s">
        <v>22</v>
      </c>
    </row>
    <row r="13" spans="1:9" x14ac:dyDescent="0.15">
      <c r="A13" s="101" cm="1">
        <f t="array" ref="A13:A24">_xlfn.SEQUENCE(12)</f>
        <v>1</v>
      </c>
      <c r="B13" s="196" cm="1">
        <f t="array" ref="B13:B24">_xlfn.XLOOKUP(_xlfn.ANCHORARRAY(A13),_xlfn.ANCHORARRAY(Simulation!A53),_xlfn.ANCHORARRAY(Simulation!B53))</f>
        <v>44867</v>
      </c>
      <c r="C13" s="197" t="e" cm="1">
        <f t="array" ref="C13:C24">PV(B8/12,12-_xlfn.ANCHORARRAY(A13)+1,-D13)</f>
        <v>#N/A</v>
      </c>
      <c r="D13" s="197" t="e">
        <f>PMT($B$8/12,12,-$B$6)</f>
        <v>#N/A</v>
      </c>
      <c r="E13" s="197" t="e" cm="1">
        <f t="array" ref="E13:E24">_xlfn.ANCHORARRAY(C13)*$B$8/12</f>
        <v>#N/A</v>
      </c>
      <c r="F13" s="197" t="e" cm="1">
        <f t="array" ref="F13:F24">D13-_xlfn.ANCHORARRAY(E13)</f>
        <v>#N/A</v>
      </c>
      <c r="G13" s="197" t="e" cm="1">
        <f t="array" ref="G13:G24">_xlfn.ANCHORARRAY(C13)-_xlfn.ANCHORARRAY(F13)</f>
        <v>#N/A</v>
      </c>
    </row>
    <row r="14" spans="1:9" x14ac:dyDescent="0.15">
      <c r="A14" s="101">
        <v>2</v>
      </c>
      <c r="B14" s="196">
        <v>44897</v>
      </c>
      <c r="C14" s="197" t="e">
        <v>#N/A</v>
      </c>
      <c r="D14" s="197" t="e">
        <f t="shared" ref="D14:D24" si="0">PMT($B$8/12,12,-$B$6)</f>
        <v>#N/A</v>
      </c>
      <c r="E14" s="197" t="e">
        <v>#N/A</v>
      </c>
      <c r="F14" s="197" t="e">
        <v>#N/A</v>
      </c>
      <c r="G14" s="197" t="e">
        <v>#N/A</v>
      </c>
    </row>
    <row r="15" spans="1:9" x14ac:dyDescent="0.15">
      <c r="A15" s="101">
        <v>3</v>
      </c>
      <c r="B15" s="196">
        <v>44928</v>
      </c>
      <c r="C15" s="197" t="e">
        <v>#N/A</v>
      </c>
      <c r="D15" s="197" t="e">
        <f t="shared" si="0"/>
        <v>#N/A</v>
      </c>
      <c r="E15" s="197" t="e">
        <v>#N/A</v>
      </c>
      <c r="F15" s="197" t="e">
        <v>#N/A</v>
      </c>
      <c r="G15" s="197" t="e">
        <v>#N/A</v>
      </c>
    </row>
    <row r="16" spans="1:9" x14ac:dyDescent="0.15">
      <c r="A16" s="101">
        <v>4</v>
      </c>
      <c r="B16" s="196">
        <v>44959</v>
      </c>
      <c r="C16" s="197" t="e">
        <v>#N/A</v>
      </c>
      <c r="D16" s="197" t="e">
        <f t="shared" si="0"/>
        <v>#N/A</v>
      </c>
      <c r="E16" s="197" t="e">
        <v>#N/A</v>
      </c>
      <c r="F16" s="197" t="e">
        <v>#N/A</v>
      </c>
      <c r="G16" s="197" t="e">
        <v>#N/A</v>
      </c>
    </row>
    <row r="17" spans="1:7" x14ac:dyDescent="0.15">
      <c r="A17" s="101">
        <v>5</v>
      </c>
      <c r="B17" s="196">
        <v>44987</v>
      </c>
      <c r="C17" s="197" t="e">
        <v>#N/A</v>
      </c>
      <c r="D17" s="197" t="e">
        <f t="shared" si="0"/>
        <v>#N/A</v>
      </c>
      <c r="E17" s="197" t="e">
        <v>#N/A</v>
      </c>
      <c r="F17" s="197" t="e">
        <v>#N/A</v>
      </c>
      <c r="G17" s="197" t="e">
        <v>#N/A</v>
      </c>
    </row>
    <row r="18" spans="1:7" x14ac:dyDescent="0.15">
      <c r="A18" s="101">
        <v>6</v>
      </c>
      <c r="B18" s="196">
        <v>45018</v>
      </c>
      <c r="C18" s="197" t="e">
        <v>#N/A</v>
      </c>
      <c r="D18" s="197" t="e">
        <f t="shared" si="0"/>
        <v>#N/A</v>
      </c>
      <c r="E18" s="197" t="e">
        <v>#N/A</v>
      </c>
      <c r="F18" s="197" t="e">
        <v>#N/A</v>
      </c>
      <c r="G18" s="197" t="e">
        <v>#N/A</v>
      </c>
    </row>
    <row r="19" spans="1:7" x14ac:dyDescent="0.15">
      <c r="A19" s="101">
        <v>7</v>
      </c>
      <c r="B19" s="196">
        <v>45048</v>
      </c>
      <c r="C19" s="197" t="e">
        <v>#N/A</v>
      </c>
      <c r="D19" s="197" t="e">
        <f t="shared" si="0"/>
        <v>#N/A</v>
      </c>
      <c r="E19" s="197" t="e">
        <v>#N/A</v>
      </c>
      <c r="F19" s="197" t="e">
        <v>#N/A</v>
      </c>
      <c r="G19" s="197" t="e">
        <v>#N/A</v>
      </c>
    </row>
    <row r="20" spans="1:7" x14ac:dyDescent="0.15">
      <c r="A20" s="101">
        <v>8</v>
      </c>
      <c r="B20" s="196">
        <v>45079</v>
      </c>
      <c r="C20" s="197" t="e">
        <v>#N/A</v>
      </c>
      <c r="D20" s="197" t="e">
        <f t="shared" si="0"/>
        <v>#N/A</v>
      </c>
      <c r="E20" s="197" t="e">
        <v>#N/A</v>
      </c>
      <c r="F20" s="197" t="e">
        <v>#N/A</v>
      </c>
      <c r="G20" s="197" t="e">
        <v>#N/A</v>
      </c>
    </row>
    <row r="21" spans="1:7" x14ac:dyDescent="0.15">
      <c r="A21" s="101">
        <v>9</v>
      </c>
      <c r="B21" s="196">
        <v>45109</v>
      </c>
      <c r="C21" s="197" t="e">
        <v>#N/A</v>
      </c>
      <c r="D21" s="197" t="e">
        <f t="shared" si="0"/>
        <v>#N/A</v>
      </c>
      <c r="E21" s="197" t="e">
        <v>#N/A</v>
      </c>
      <c r="F21" s="197" t="e">
        <v>#N/A</v>
      </c>
      <c r="G21" s="197" t="e">
        <v>#N/A</v>
      </c>
    </row>
    <row r="22" spans="1:7" x14ac:dyDescent="0.15">
      <c r="A22" s="101">
        <v>10</v>
      </c>
      <c r="B22" s="196">
        <v>45140</v>
      </c>
      <c r="C22" s="197" t="e">
        <v>#N/A</v>
      </c>
      <c r="D22" s="197" t="e">
        <f t="shared" si="0"/>
        <v>#N/A</v>
      </c>
      <c r="E22" s="197" t="e">
        <v>#N/A</v>
      </c>
      <c r="F22" s="197" t="e">
        <v>#N/A</v>
      </c>
      <c r="G22" s="197" t="e">
        <v>#N/A</v>
      </c>
    </row>
    <row r="23" spans="1:7" x14ac:dyDescent="0.15">
      <c r="A23" s="101">
        <v>11</v>
      </c>
      <c r="B23" s="196">
        <v>45171</v>
      </c>
      <c r="C23" s="197" t="e">
        <v>#N/A</v>
      </c>
      <c r="D23" s="197" t="e">
        <f t="shared" si="0"/>
        <v>#N/A</v>
      </c>
      <c r="E23" s="197" t="e">
        <v>#N/A</v>
      </c>
      <c r="F23" s="197" t="e">
        <v>#N/A</v>
      </c>
      <c r="G23" s="197" t="e">
        <v>#N/A</v>
      </c>
    </row>
    <row r="24" spans="1:7" x14ac:dyDescent="0.15">
      <c r="A24" s="101">
        <v>12</v>
      </c>
      <c r="B24" s="196">
        <v>45201</v>
      </c>
      <c r="C24" s="197" t="e">
        <v>#N/A</v>
      </c>
      <c r="D24" s="197" t="e">
        <f t="shared" si="0"/>
        <v>#N/A</v>
      </c>
      <c r="E24" s="197" t="e">
        <v>#N/A</v>
      </c>
      <c r="F24" s="197" t="e">
        <v>#N/A</v>
      </c>
      <c r="G24" s="197" t="e">
        <v>#N/A</v>
      </c>
    </row>
    <row r="25" spans="1:7" x14ac:dyDescent="0.15">
      <c r="E25" s="189"/>
    </row>
    <row r="27" spans="1:7" x14ac:dyDescent="0.15">
      <c r="E27" s="189"/>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49</vt:i4>
      </vt:variant>
    </vt:vector>
  </HeadingPairs>
  <TitlesOfParts>
    <vt:vector size="59" baseType="lpstr">
      <vt:lpstr>BEETRADE</vt:lpstr>
      <vt:lpstr>Your Project</vt:lpstr>
      <vt:lpstr>Add Ins</vt:lpstr>
      <vt:lpstr>Your Revenues</vt:lpstr>
      <vt:lpstr>Additional Information</vt:lpstr>
      <vt:lpstr>Simulation</vt:lpstr>
      <vt:lpstr>Hidden_Lists Base</vt:lpstr>
      <vt:lpstr>Hidden_Control Sheet</vt:lpstr>
      <vt:lpstr>Hidden_Filter</vt:lpstr>
      <vt:lpstr>Hidden_Bridge Loan</vt:lpstr>
      <vt:lpstr>Brussels</vt:lpstr>
      <vt:lpstr>Brussels_NoAbatement</vt:lpstr>
      <vt:lpstr>Flanders</vt:lpstr>
      <vt:lpstr>List_1</vt:lpstr>
      <vt:lpstr>List_10</vt:lpstr>
      <vt:lpstr>List_11</vt:lpstr>
      <vt:lpstr>List_12</vt:lpstr>
      <vt:lpstr>List_13</vt:lpstr>
      <vt:lpstr>List_14</vt:lpstr>
      <vt:lpstr>List_15</vt:lpstr>
      <vt:lpstr>List_16</vt:lpstr>
      <vt:lpstr>List_17</vt:lpstr>
      <vt:lpstr>List_18</vt:lpstr>
      <vt:lpstr>List_19</vt:lpstr>
      <vt:lpstr>List_2</vt:lpstr>
      <vt:lpstr>List_20</vt:lpstr>
      <vt:lpstr>List_21</vt:lpstr>
      <vt:lpstr>List_22</vt:lpstr>
      <vt:lpstr>List_23</vt:lpstr>
      <vt:lpstr>List_24</vt:lpstr>
      <vt:lpstr>List_25</vt:lpstr>
      <vt:lpstr>List_26</vt:lpstr>
      <vt:lpstr>List_27</vt:lpstr>
      <vt:lpstr>List_3</vt:lpstr>
      <vt:lpstr>List_4</vt:lpstr>
      <vt:lpstr>List_5</vt:lpstr>
      <vt:lpstr>List_6</vt:lpstr>
      <vt:lpstr>List_7</vt:lpstr>
      <vt:lpstr>List_8</vt:lpstr>
      <vt:lpstr>List_9</vt:lpstr>
      <vt:lpstr>Monthly_Interest_Rate</vt:lpstr>
      <vt:lpstr>Monthly_Payment</vt:lpstr>
      <vt:lpstr>Number_of_Payments_per_Year</vt:lpstr>
      <vt:lpstr>Own_Funds</vt:lpstr>
      <vt:lpstr>Price_of_Purchase</vt:lpstr>
      <vt:lpstr>Simulation!Print_Titles</vt:lpstr>
      <vt:lpstr>Q3b_VAT</vt:lpstr>
      <vt:lpstr>Ref_Q3a</vt:lpstr>
      <vt:lpstr>Renovation_VAT</vt:lpstr>
      <vt:lpstr>Scheduled_Number_of_Payments</vt:lpstr>
      <vt:lpstr>Start_Loan_Date</vt:lpstr>
      <vt:lpstr>Today</vt:lpstr>
      <vt:lpstr>type_replacement_income</vt:lpstr>
      <vt:lpstr>type_withoutVAT</vt:lpstr>
      <vt:lpstr>Type_withVAT</vt:lpstr>
      <vt:lpstr>Vazio</vt:lpstr>
      <vt:lpstr>Wallonia</vt:lpstr>
      <vt:lpstr>What_are_you_buying?</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Anne</dc:creator>
  <cp:lastModifiedBy>Microsoft Office User</cp:lastModifiedBy>
  <cp:lastPrinted>2022-11-07T12:02:13Z</cp:lastPrinted>
  <dcterms:created xsi:type="dcterms:W3CDTF">2022-11-02T12:21:22Z</dcterms:created>
  <dcterms:modified xsi:type="dcterms:W3CDTF">2023-07-20T00:27:42Z</dcterms:modified>
</cp:coreProperties>
</file>